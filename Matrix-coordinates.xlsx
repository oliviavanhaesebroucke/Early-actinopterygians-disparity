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olivi\Documents\UQAR\DOC\Redaction-Articles-These\Article_1_Actinopterygian_disparity\Analyses-finales\"/>
    </mc:Choice>
  </mc:AlternateContent>
  <xr:revisionPtr revIDLastSave="0" documentId="13_ncr:1_{060ED8F5-9D78-4BFB-972E-170C2039A82B}" xr6:coauthVersionLast="47" xr6:coauthVersionMax="47" xr10:uidLastSave="{00000000-0000-0000-0000-000000000000}"/>
  <bookViews>
    <workbookView xWindow="11520" yWindow="0" windowWidth="11520" windowHeight="12360" xr2:uid="{619825B8-0BBA-444D-9667-6BCBAECE4CB0}"/>
  </bookViews>
  <sheets>
    <sheet name="Species ag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3" i="1" l="1"/>
  <c r="N114" i="1"/>
  <c r="N109" i="1"/>
  <c r="N110" i="1"/>
  <c r="N97" i="1"/>
  <c r="N88" i="1"/>
  <c r="N89" i="1"/>
  <c r="N91" i="1"/>
  <c r="N92" i="1"/>
  <c r="N93" i="1"/>
  <c r="N82" i="1"/>
  <c r="N83" i="1"/>
  <c r="N78" i="1"/>
  <c r="N68" i="1"/>
  <c r="N69" i="1"/>
  <c r="N62" i="1"/>
  <c r="N63" i="1"/>
  <c r="N64" i="1"/>
  <c r="N52" i="1"/>
  <c r="N53" i="1"/>
  <c r="N56" i="1"/>
  <c r="N57" i="1"/>
  <c r="N59" i="1"/>
  <c r="N60" i="1"/>
  <c r="N46" i="1"/>
  <c r="N49" i="1"/>
  <c r="N40" i="1"/>
  <c r="N41" i="1"/>
  <c r="N42" i="1"/>
  <c r="N28" i="1"/>
  <c r="N29" i="1"/>
  <c r="N32" i="1"/>
  <c r="N34" i="1"/>
  <c r="N25" i="1"/>
  <c r="N20" i="1"/>
  <c r="N5" i="1"/>
  <c r="N112" i="1"/>
  <c r="N106" i="1"/>
  <c r="N104" i="1"/>
  <c r="N103" i="1"/>
  <c r="N96" i="1"/>
  <c r="N95" i="1"/>
  <c r="N94" i="1"/>
  <c r="N87" i="1"/>
  <c r="N84" i="1"/>
  <c r="N81" i="1"/>
  <c r="N80" i="1"/>
  <c r="N75" i="1"/>
  <c r="N67" i="1"/>
  <c r="N66" i="1"/>
  <c r="N65" i="1"/>
  <c r="N61" i="1"/>
  <c r="N50" i="1"/>
  <c r="N45" i="1"/>
  <c r="N38" i="1"/>
  <c r="N37" i="1"/>
  <c r="N27" i="1"/>
  <c r="N24" i="1"/>
  <c r="N16" i="1"/>
  <c r="N15" i="1"/>
  <c r="N14" i="1"/>
  <c r="N12" i="1"/>
  <c r="N11" i="1"/>
  <c r="N9" i="1"/>
  <c r="N6" i="1"/>
  <c r="N3" i="1"/>
</calcChain>
</file>

<file path=xl/sharedStrings.xml><?xml version="1.0" encoding="utf-8"?>
<sst xmlns="http://schemas.openxmlformats.org/spreadsheetml/2006/main" count="1440" uniqueCount="513">
  <si>
    <t>Species</t>
  </si>
  <si>
    <t>Class</t>
  </si>
  <si>
    <t>Periode</t>
  </si>
  <si>
    <t>Epoque</t>
  </si>
  <si>
    <t>Age</t>
  </si>
  <si>
    <t>Formation/Country</t>
  </si>
  <si>
    <t>Ref</t>
  </si>
  <si>
    <t>Notes</t>
  </si>
  <si>
    <t>Carboniferous</t>
  </si>
  <si>
    <t>Pennsylvanian</t>
  </si>
  <si>
    <t>Mississippian</t>
  </si>
  <si>
    <t>Tournaisian</t>
  </si>
  <si>
    <t>Famennian</t>
  </si>
  <si>
    <t>Acrolepis gigas</t>
  </si>
  <si>
    <t>Actinopterygian</t>
  </si>
  <si>
    <t xml:space="preserve">Kasimovian </t>
  </si>
  <si>
    <r>
      <t xml:space="preserve">Stamberg 1991; </t>
    </r>
    <r>
      <rPr>
        <sz val="11"/>
        <color rgb="FFFF0000"/>
        <rFont val="Aptos Narrow"/>
        <family val="2"/>
        <scheme val="minor"/>
      </rPr>
      <t>Fritsch 1877</t>
    </r>
  </si>
  <si>
    <t>Adroichthys tuberculatus</t>
  </si>
  <si>
    <t>Viséan</t>
  </si>
  <si>
    <t>Aeduella blainvillei</t>
  </si>
  <si>
    <t>Bassin d'Autun/Montceau-les-Mines, France</t>
  </si>
  <si>
    <r>
      <t>Poplin and Dutheil 2005 ; Heyler and Poplin 1983;</t>
    </r>
    <r>
      <rPr>
        <sz val="11"/>
        <color rgb="FFFF0000"/>
        <rFont val="Aptos Narrow"/>
        <family val="2"/>
        <scheme val="minor"/>
      </rPr>
      <t xml:space="preserve"> Westoll 1937</t>
    </r>
  </si>
  <si>
    <t>Aesopichthys erinaceus</t>
  </si>
  <si>
    <t>Serpukhovian</t>
  </si>
  <si>
    <t>Bear Gulch limestone, Big snowy group, South Becket, Fergus County, Montana</t>
  </si>
  <si>
    <t>Poplin and Lund 2000</t>
  </si>
  <si>
    <t>Aestuarichthys fulcratus</t>
  </si>
  <si>
    <t>Aetheretmon valentiacum</t>
  </si>
  <si>
    <t>Late Famennian</t>
  </si>
  <si>
    <t>Bashkirian</t>
  </si>
  <si>
    <t>Gzhelian</t>
  </si>
  <si>
    <t>Commentry, France</t>
  </si>
  <si>
    <t>Frasnian</t>
  </si>
  <si>
    <t>Givetian</t>
  </si>
  <si>
    <t>Australichthys longidorsalis</t>
  </si>
  <si>
    <t>Mt Howitt, Victoria, Australia</t>
  </si>
  <si>
    <t>Early Frasnian</t>
  </si>
  <si>
    <t>Moscovian</t>
  </si>
  <si>
    <t>Beagiascus pulcherrimus</t>
  </si>
  <si>
    <r>
      <t xml:space="preserve">Mickle </t>
    </r>
    <r>
      <rPr>
        <i/>
        <sz val="11"/>
        <color rgb="FFFF0000"/>
        <rFont val="Aptos Narrow"/>
        <family val="2"/>
        <scheme val="minor"/>
      </rPr>
      <t xml:space="preserve">et al. </t>
    </r>
    <r>
      <rPr>
        <sz val="11"/>
        <color rgb="FFFF0000"/>
        <rFont val="Aptos Narrow"/>
        <family val="2"/>
        <scheme val="minor"/>
      </rPr>
      <t>2009</t>
    </r>
  </si>
  <si>
    <t>Benedenius deneensis</t>
  </si>
  <si>
    <t>Molignée, Belgium</t>
  </si>
  <si>
    <t>Benedenius soreili</t>
  </si>
  <si>
    <t>Middle Frasnian</t>
  </si>
  <si>
    <t>Bourbonnella guilloti</t>
  </si>
  <si>
    <r>
      <t>Poplin and Dutheil 2005;</t>
    </r>
    <r>
      <rPr>
        <sz val="11"/>
        <color rgb="FFFF0000"/>
        <rFont val="Aptos Narrow"/>
        <family val="2"/>
        <scheme val="minor"/>
      </rPr>
      <t xml:space="preserve"> Heyler 1967</t>
    </r>
  </si>
  <si>
    <t>Eifelian</t>
  </si>
  <si>
    <t>Eifelian-Givetian</t>
  </si>
  <si>
    <t>Canobius elegantulus</t>
  </si>
  <si>
    <t>Glencartholm, Dumfries and Galloway, Scotland</t>
  </si>
  <si>
    <t>Canobius ramsayi</t>
  </si>
  <si>
    <t>Cheirodopsis geikiei</t>
  </si>
  <si>
    <t>Cheirolepis canadensis</t>
  </si>
  <si>
    <t xml:space="preserve">Devonian </t>
  </si>
  <si>
    <t xml:space="preserve">Upper Devonian </t>
  </si>
  <si>
    <t>Escuminac Formation, Miguasha, Quebec, Canada</t>
  </si>
  <si>
    <t>Cheirolepis schultzei</t>
  </si>
  <si>
    <t xml:space="preserve">Middle Devonian </t>
  </si>
  <si>
    <t xml:space="preserve">Givetian </t>
  </si>
  <si>
    <t>Nevada, USA</t>
  </si>
  <si>
    <t>Cheirolepis trailli</t>
  </si>
  <si>
    <t>Old Red Sandstone, Orkney, Scotland</t>
  </si>
  <si>
    <r>
      <t xml:space="preserve">Pearson and Westoll 1979; Arratia and Cloutier 2004; </t>
    </r>
    <r>
      <rPr>
        <sz val="11"/>
        <color rgb="FFFF0000"/>
        <rFont val="Aptos Narrow"/>
        <family val="2"/>
        <scheme val="minor"/>
      </rPr>
      <t>Agassiz 1835</t>
    </r>
  </si>
  <si>
    <t>Coccocephalus wildi</t>
  </si>
  <si>
    <t>Mountain Fourfoot Mine of Trawden, Lancashire, England</t>
  </si>
  <si>
    <t>Commentrya traquairi</t>
  </si>
  <si>
    <t>Cornuboniscus budensis</t>
  </si>
  <si>
    <t>Cosmoptychius striatus</t>
  </si>
  <si>
    <t>Wardie, Scotland</t>
  </si>
  <si>
    <r>
      <t xml:space="preserve">Dineley et Metclaf 1999 ; Gardiner 1963; </t>
    </r>
    <r>
      <rPr>
        <sz val="11"/>
        <color rgb="FFFF0000"/>
        <rFont val="Aptos Narrow"/>
        <family val="2"/>
        <scheme val="minor"/>
      </rPr>
      <t>Watson 1928</t>
    </r>
  </si>
  <si>
    <t>Cryphiolepis striatus</t>
  </si>
  <si>
    <t>Cuneognathus gardineri</t>
  </si>
  <si>
    <t>Cycloptychius concentricus</t>
  </si>
  <si>
    <t>Cyranorhis bergeraci</t>
  </si>
  <si>
    <t xml:space="preserve">Discoserra pectinodon </t>
  </si>
  <si>
    <t>Lund 2000</t>
  </si>
  <si>
    <t>Donnrosenia schaefferi</t>
  </si>
  <si>
    <t>Kasimovian</t>
  </si>
  <si>
    <t>Elonichthys browni</t>
  </si>
  <si>
    <t>Albert Formation New Brunswick</t>
  </si>
  <si>
    <t>Elonichthys hypsilepis</t>
  </si>
  <si>
    <t>Carbondale Formation, Mazon Creek, Illinois, USA</t>
  </si>
  <si>
    <r>
      <t>Schultze and Bardack 1987;</t>
    </r>
    <r>
      <rPr>
        <sz val="11"/>
        <color rgb="FFFF0000"/>
        <rFont val="Aptos Narrow"/>
        <family val="2"/>
        <scheme val="minor"/>
      </rPr>
      <t xml:space="preserve"> Hay 1900</t>
    </r>
  </si>
  <si>
    <t>Elonichthys krejcii</t>
  </si>
  <si>
    <t>Elonichthys peltigerus</t>
  </si>
  <si>
    <t>Carbondale Formation, Linton, Ohio, Mazon Creek, Illinois</t>
  </si>
  <si>
    <r>
      <t xml:space="preserve">Schultze and Bardack 1987; </t>
    </r>
    <r>
      <rPr>
        <sz val="11"/>
        <color rgb="FFFF0000"/>
        <rFont val="Aptos Narrow"/>
        <family val="2"/>
        <scheme val="minor"/>
      </rPr>
      <t>Newberry 1856</t>
    </r>
  </si>
  <si>
    <t>Elonichthys pulcherrimus</t>
  </si>
  <si>
    <t>Elonichthys robisoni</t>
  </si>
  <si>
    <t>Elonichthys serratus</t>
  </si>
  <si>
    <t>Fouldenia ischiptera</t>
  </si>
  <si>
    <t>Frederichthys musadentatus</t>
  </si>
  <si>
    <t>Coates, 1993</t>
  </si>
  <si>
    <t>Fubarichthys copiosus</t>
  </si>
  <si>
    <t>Bear Gulch, Montana USA</t>
  </si>
  <si>
    <t>Ganolepis gracilis</t>
  </si>
  <si>
    <t>Gogo Formation, Australia</t>
  </si>
  <si>
    <t>Gogosardina coatesi</t>
  </si>
  <si>
    <r>
      <t xml:space="preserve">Choo </t>
    </r>
    <r>
      <rPr>
        <i/>
        <sz val="11"/>
        <color rgb="FFFF0000"/>
        <rFont val="Aptos Narrow"/>
        <family val="2"/>
        <scheme val="minor"/>
      </rPr>
      <t>et al</t>
    </r>
    <r>
      <rPr>
        <sz val="11"/>
        <color rgb="FFFF0000"/>
        <rFont val="Aptos Narrow"/>
        <family val="2"/>
        <scheme val="minor"/>
      </rPr>
      <t>. 2009</t>
    </r>
  </si>
  <si>
    <t>Gonatodus punctatus</t>
  </si>
  <si>
    <t>Guildayichthys carnegiei</t>
  </si>
  <si>
    <t>Gyrolepidotus schmidti</t>
  </si>
  <si>
    <t>Haplolepis corrugata</t>
  </si>
  <si>
    <t>Holurus parki</t>
  </si>
  <si>
    <t>Howqualepis rostridens</t>
  </si>
  <si>
    <t>Long 1988</t>
  </si>
  <si>
    <t>Kalops diophrys</t>
  </si>
  <si>
    <t>Kalops monophrys</t>
  </si>
  <si>
    <t>Lambeia pectinatus</t>
  </si>
  <si>
    <t>Mickle 2017</t>
  </si>
  <si>
    <t>Limnomis delaneyi</t>
  </si>
  <si>
    <t>Catskill, Pennsylvania, USA</t>
  </si>
  <si>
    <t>Daeschler 2000</t>
  </si>
  <si>
    <t>Lineagruan judithi</t>
  </si>
  <si>
    <t>Lineagruan snowyi</t>
  </si>
  <si>
    <r>
      <t xml:space="preserve">Mickle </t>
    </r>
    <r>
      <rPr>
        <i/>
        <sz val="11"/>
        <color rgb="FFFF0000"/>
        <rFont val="Aptos Narrow"/>
        <family val="2"/>
        <scheme val="minor"/>
      </rPr>
      <t>et al.</t>
    </r>
    <r>
      <rPr>
        <sz val="11"/>
        <color rgb="FFFF0000"/>
        <rFont val="Aptos Narrow"/>
        <family val="2"/>
        <scheme val="minor"/>
      </rPr>
      <t xml:space="preserve"> 2009</t>
    </r>
  </si>
  <si>
    <t>Mansfieldiscus sweeti</t>
  </si>
  <si>
    <t>Melanecta anneae</t>
  </si>
  <si>
    <t>Shrimp member, Manse Burn Formation, Bearsden Scotland</t>
  </si>
  <si>
    <r>
      <t xml:space="preserve">Schultze et al. 2021 ; </t>
    </r>
    <r>
      <rPr>
        <sz val="11"/>
        <color rgb="FFFF0000"/>
        <rFont val="Aptos Narrow"/>
        <family val="2"/>
        <scheme val="minor"/>
      </rPr>
      <t>Coates 1998</t>
    </r>
  </si>
  <si>
    <t>Mentzichthys jubbi</t>
  </si>
  <si>
    <t>Mesolepis scalaris</t>
  </si>
  <si>
    <t>Mesopoma carriki</t>
  </si>
  <si>
    <t>Coates 1993</t>
  </si>
  <si>
    <t>Mesopoma crassum</t>
  </si>
  <si>
    <t>Mesopoma politum</t>
  </si>
  <si>
    <t>Mesopoma pulchellum</t>
  </si>
  <si>
    <t>Microhaplolepis ovoidea</t>
  </si>
  <si>
    <t>Microhaplolepis serrata</t>
  </si>
  <si>
    <t>Aztec Siltstone of southern Victoria Land, Antarctica</t>
  </si>
  <si>
    <t>Mimipiscis bartrami</t>
  </si>
  <si>
    <t>Choo 2011</t>
  </si>
  <si>
    <t>Mimipiscis toombsi</t>
  </si>
  <si>
    <t>Moythomasia durgaringa</t>
  </si>
  <si>
    <t>Moythomasia lineata</t>
  </si>
  <si>
    <t>Choo 2015</t>
  </si>
  <si>
    <t>Moythomasia nitida</t>
  </si>
  <si>
    <r>
      <t xml:space="preserve">Choo 2015; </t>
    </r>
    <r>
      <rPr>
        <sz val="11"/>
        <color rgb="FFFF0000"/>
        <rFont val="Aptos Narrow"/>
        <family val="2"/>
        <scheme val="minor"/>
      </rPr>
      <t>Gross 1953</t>
    </r>
  </si>
  <si>
    <t>Notacmon crenatus</t>
  </si>
  <si>
    <t>Shales Member of the Gullane Formation, Wardie, Scotland</t>
  </si>
  <si>
    <t>Novogonatodus kasantsevae</t>
  </si>
  <si>
    <t>Osorioichthys marginis</t>
  </si>
  <si>
    <t>Parahaplolepis tuberculata</t>
  </si>
  <si>
    <t>Paramblypterus decorus</t>
  </si>
  <si>
    <t>Bassin d'Autun/Montceau-les-Mines</t>
  </si>
  <si>
    <r>
      <t xml:space="preserve">Dietze 2000 ; Heyler and Poplin 1983; </t>
    </r>
    <r>
      <rPr>
        <sz val="11"/>
        <color rgb="FFFF0000"/>
        <rFont val="Aptos Narrow"/>
        <family val="2"/>
        <scheme val="minor"/>
      </rPr>
      <t>Blot 1966</t>
    </r>
  </si>
  <si>
    <t>Paramesolepis rhombus</t>
  </si>
  <si>
    <t>Paramesolepis tuberculatus</t>
  </si>
  <si>
    <t>Paratarrasius hibbardi</t>
  </si>
  <si>
    <r>
      <t>Lund and Poplin 2002;</t>
    </r>
    <r>
      <rPr>
        <sz val="11"/>
        <color rgb="FFFF0000"/>
        <rFont val="Aptos Narrow"/>
        <family val="2"/>
        <scheme val="minor"/>
      </rPr>
      <t xml:space="preserve"> Lund and Melton 1982</t>
    </r>
  </si>
  <si>
    <t>Phanerorhynchus armatus</t>
  </si>
  <si>
    <t>Middle Coal Measure, Lancashire England</t>
  </si>
  <si>
    <t>Phanerosteon mirabile</t>
  </si>
  <si>
    <t>Phanerosteon ovensi</t>
  </si>
  <si>
    <t>Cementstones of Foulden, Scotland</t>
  </si>
  <si>
    <t>Pickeringius acanthophorus</t>
  </si>
  <si>
    <r>
      <t xml:space="preserve">Choo </t>
    </r>
    <r>
      <rPr>
        <i/>
        <sz val="11"/>
        <color rgb="FFFF0000"/>
        <rFont val="Aptos Narrow"/>
        <family val="2"/>
        <scheme val="minor"/>
      </rPr>
      <t>et al.</t>
    </r>
    <r>
      <rPr>
        <sz val="11"/>
        <color rgb="FFFF0000"/>
        <rFont val="Aptos Narrow"/>
        <family val="2"/>
        <scheme val="minor"/>
      </rPr>
      <t xml:space="preserve"> 2018</t>
    </r>
  </si>
  <si>
    <t>Platysomus superbus</t>
  </si>
  <si>
    <t>Proceramala montanensis</t>
  </si>
  <si>
    <t>Puertollanichthys ritchiei</t>
  </si>
  <si>
    <t>Puertollano basin Spain</t>
  </si>
  <si>
    <t>Pyritocephalus lineatus</t>
  </si>
  <si>
    <t>Linton and Five Points, Ohio, USA</t>
  </si>
  <si>
    <t>Pyritocephalus sculptus</t>
  </si>
  <si>
    <t>Rhadinichthys canobiensis</t>
  </si>
  <si>
    <t>Rhadinichthys fusiformis</t>
  </si>
  <si>
    <r>
      <t>Moy-Thomas and Dyne 1938 ;</t>
    </r>
    <r>
      <rPr>
        <sz val="11"/>
        <color rgb="FFFF0000"/>
        <rFont val="Aptos Narrow"/>
        <family val="2"/>
        <scheme val="minor"/>
      </rPr>
      <t xml:space="preserve"> Traquair 1881</t>
    </r>
  </si>
  <si>
    <t>Rhadinichthys ornatissimus</t>
  </si>
  <si>
    <t>Scotland: Dunnet shale (calciferous sandstone series) of Straiton</t>
  </si>
  <si>
    <t>Sceletophorus biserialis</t>
  </si>
  <si>
    <t>Senekichthys hirundo</t>
  </si>
  <si>
    <t>Sphaerolepis kounoviensis</t>
  </si>
  <si>
    <t>Stegotrachelus finlayi</t>
  </si>
  <si>
    <r>
      <t xml:space="preserve">Swartz 2009; </t>
    </r>
    <r>
      <rPr>
        <sz val="11"/>
        <color rgb="FFFF0000"/>
        <rFont val="Aptos Narrow"/>
        <family val="2"/>
        <scheme val="minor"/>
      </rPr>
      <t xml:space="preserve">Woodward and White, 1926 </t>
    </r>
  </si>
  <si>
    <t>Styracopterus fulcratus</t>
  </si>
  <si>
    <t>Glencartholm, Dumfries and Galloway, Scotland; East European Plateform, Russia</t>
  </si>
  <si>
    <t>Sundayichthys elegantulus</t>
  </si>
  <si>
    <t>Tanyrhinichthys mcallisteri</t>
  </si>
  <si>
    <t>Kinney Quarry, New Mexico, USA</t>
  </si>
  <si>
    <t>Tarrasius problematicus</t>
  </si>
  <si>
    <t>Calciferous Sandstone Series, Glencartholm, Langholm, Dumfriesshire, Scotland</t>
  </si>
  <si>
    <r>
      <t xml:space="preserve">Lund and Poplin 2002; </t>
    </r>
    <r>
      <rPr>
        <sz val="11"/>
        <color rgb="FFFF0000"/>
        <rFont val="Aptos Narrow"/>
        <family val="2"/>
        <scheme val="minor"/>
      </rPr>
      <t>Traquair 1881</t>
    </r>
  </si>
  <si>
    <t>Trawdenia planti</t>
  </si>
  <si>
    <t>Lancashire England</t>
  </si>
  <si>
    <t>Coates and Tietjen 2018</t>
  </si>
  <si>
    <t>Wendyichthys dicksoni</t>
  </si>
  <si>
    <t>Bear Gulch, Heath Formation, Big Snowy Group, Montana, USA</t>
  </si>
  <si>
    <t>Wendyichthys lautreci</t>
  </si>
  <si>
    <t>Whiteichthys greenlandicus</t>
  </si>
  <si>
    <t>North Scoresby Land, Mester Vig Formation, East Greenland</t>
  </si>
  <si>
    <t>Willomorichthys striatulus</t>
  </si>
  <si>
    <t xml:space="preserve">Gardiner 1969 </t>
  </si>
  <si>
    <t>Woodichthys bearsdeni</t>
  </si>
  <si>
    <t>Yogoniscus gulo</t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</si>
  <si>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 xml:space="preserve">. 2021 ; </t>
    </r>
    <r>
      <rPr>
        <sz val="11"/>
        <color rgb="FFFF0000"/>
        <rFont val="Aptos Narrow"/>
        <family val="2"/>
        <scheme val="minor"/>
      </rPr>
      <t>Gardiner 1969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</si>
  <si>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White 1927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</si>
  <si>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>. 2021 ; Dyne 1939 ; Traquair 1880 ;</t>
    </r>
    <r>
      <rPr>
        <sz val="11"/>
        <color rgb="FFFF0000"/>
        <rFont val="Aptos Narrow"/>
        <family val="2"/>
        <scheme val="minor"/>
      </rPr>
      <t xml:space="preserve"> Young 1866</t>
    </r>
    <r>
      <rPr>
        <sz val="11"/>
        <color theme="1"/>
        <rFont val="Aptos Narrow"/>
        <family val="2"/>
        <scheme val="minor"/>
      </rPr>
      <t>; Elliott 2018</t>
    </r>
  </si>
  <si>
    <r>
      <t xml:space="preserve">Mottequin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2015; </t>
    </r>
    <r>
      <rPr>
        <sz val="11"/>
        <color rgb="FFFF0000"/>
        <rFont val="Aptos Narrow"/>
        <family val="2"/>
        <scheme val="minor"/>
      </rPr>
      <t>Traquair 1877</t>
    </r>
  </si>
  <si>
    <r>
      <t xml:space="preserve">Mottequin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2015;</t>
    </r>
    <r>
      <rPr>
        <sz val="11"/>
        <color rgb="FFFF0000"/>
        <rFont val="Aptos Narrow"/>
        <family val="2"/>
        <scheme val="minor"/>
      </rPr>
      <t xml:space="preserve"> Fraipont 1890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</si>
  <si>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Wood 1982;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</si>
  <si>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</t>
    </r>
    <r>
      <rPr>
        <sz val="11"/>
        <color rgb="FFFF0000"/>
        <rFont val="Aptos Narrow"/>
        <family val="2"/>
        <scheme val="minor"/>
      </rPr>
      <t xml:space="preserve"> Sauvage 1888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</si>
  <si>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Traquair 1907;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</si>
  <si>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Friedman and Blom 2006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</si>
  <si>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 </t>
    </r>
    <r>
      <rPr>
        <sz val="11"/>
        <color theme="1"/>
        <rFont val="Aptos Narrow"/>
        <family val="2"/>
        <scheme val="minor"/>
      </rPr>
      <t>2021 ;</t>
    </r>
    <r>
      <rPr>
        <sz val="11"/>
        <color rgb="FFFF0000"/>
        <rFont val="Aptos Narrow"/>
        <family val="2"/>
        <scheme val="minor"/>
      </rPr>
      <t xml:space="preserve"> Lund and Poplin 1997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</si>
  <si>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Choo 2010 ; </t>
    </r>
    <r>
      <rPr>
        <sz val="11"/>
        <color rgb="FFFF0000"/>
        <rFont val="Aptos Narrow"/>
        <family val="2"/>
        <scheme val="minor"/>
      </rPr>
      <t xml:space="preserve">Long </t>
    </r>
    <r>
      <rPr>
        <i/>
        <sz val="11"/>
        <color rgb="FFFF0000"/>
        <rFont val="Aptos Narrow"/>
        <family val="2"/>
        <scheme val="minor"/>
      </rPr>
      <t>et al</t>
    </r>
    <r>
      <rPr>
        <sz val="11"/>
        <color rgb="FFFF0000"/>
        <rFont val="Aptos Narrow"/>
        <family val="2"/>
        <scheme val="minor"/>
      </rPr>
      <t>. 2008</t>
    </r>
  </si>
  <si>
    <r>
      <t xml:space="preserve">Goodarzi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>. 2019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</si>
  <si>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Stamberg 1991;</t>
    </r>
    <r>
      <rPr>
        <sz val="11"/>
        <color rgb="FFFF0000"/>
        <rFont val="Aptos Narrow"/>
        <family val="2"/>
        <scheme val="minor"/>
      </rPr>
      <t xml:space="preserve"> Fritsch 1895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</si>
  <si>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Traquair 1901; </t>
    </r>
    <r>
      <rPr>
        <sz val="11"/>
        <color rgb="FFFF0000"/>
        <rFont val="Aptos Narrow"/>
        <family val="2"/>
        <scheme val="minor"/>
      </rPr>
      <t>Hibbert 1835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</si>
  <si>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Sallan 2013;</t>
    </r>
    <r>
      <rPr>
        <sz val="11"/>
        <color rgb="FFFF0000"/>
        <rFont val="Aptos Narrow"/>
        <family val="2"/>
        <scheme val="minor"/>
      </rPr>
      <t xml:space="preserve"> Sallan and Coates 2013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</si>
  <si>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>2021 ; Elliott 2014;</t>
    </r>
    <r>
      <rPr>
        <sz val="11"/>
        <color rgb="FFFF0000"/>
        <rFont val="Aptos Narrow"/>
        <family val="2"/>
        <scheme val="minor"/>
      </rPr>
      <t xml:space="preserve"> Miller 1892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</si>
  <si>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Poplin and Lund 2002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</si>
  <si>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Gardiner 1969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</si>
  <si>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Sallan 2013; </t>
    </r>
    <r>
      <rPr>
        <sz val="11"/>
        <color rgb="FFFF0000"/>
        <rFont val="Aptos Narrow"/>
        <family val="2"/>
        <scheme val="minor"/>
      </rPr>
      <t>Young 1866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</si>
  <si>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</si>
  <si>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</si>
  <si>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Lowney 1980; </t>
    </r>
    <r>
      <rPr>
        <sz val="11"/>
        <color rgb="FFFF0000"/>
        <rFont val="Aptos Narrow"/>
        <family val="2"/>
        <scheme val="minor"/>
      </rPr>
      <t>Newberry 1856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</si>
  <si>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Friedman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2018; </t>
    </r>
    <r>
      <rPr>
        <sz val="11"/>
        <color rgb="FFFF0000"/>
        <rFont val="Aptos Narrow"/>
        <family val="2"/>
        <scheme val="minor"/>
      </rPr>
      <t>Agassiz 1835</t>
    </r>
  </si>
  <si>
    <r>
      <t xml:space="preserve">Holland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, 2004; </t>
    </r>
    <r>
      <rPr>
        <sz val="11"/>
        <color rgb="FFFF0000"/>
        <rFont val="Aptos Narrow"/>
        <family val="2"/>
        <scheme val="minor"/>
      </rPr>
      <t>Long 1988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</si>
  <si>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>2021 ; Westoll 1944;</t>
    </r>
    <r>
      <rPr>
        <sz val="11"/>
        <color rgb="FFFF0000"/>
        <rFont val="Aptos Narrow"/>
        <family val="2"/>
        <scheme val="minor"/>
      </rPr>
      <t xml:space="preserve"> Newberry 1856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</si>
  <si>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Moy-Thomas 1971 ; Gardiner 1967; </t>
    </r>
    <r>
      <rPr>
        <sz val="11"/>
        <color rgb="FFFF0000"/>
        <rFont val="Aptos Narrow"/>
        <family val="2"/>
        <scheme val="minor"/>
      </rPr>
      <t>Gill 1923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</si>
  <si>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Traquair 1912; </t>
    </r>
    <r>
      <rPr>
        <sz val="11"/>
        <color rgb="FFFF0000"/>
        <rFont val="Aptos Narrow"/>
        <family val="2"/>
        <scheme val="minor"/>
      </rPr>
      <t>Traquair 1881</t>
    </r>
  </si>
  <si>
    <r>
      <rPr>
        <sz val="11"/>
        <color rgb="FFFF0000"/>
        <rFont val="Aptos Narrow"/>
        <family val="2"/>
        <scheme val="minor"/>
      </rPr>
      <t xml:space="preserve">White 1927 </t>
    </r>
    <r>
      <rPr>
        <sz val="11"/>
        <color theme="1"/>
        <rFont val="Aptos Narrow"/>
        <family val="2"/>
        <scheme val="minor"/>
      </rPr>
      <t>; Gardiner 1985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</si>
  <si>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Poplin and Dutheil 2005; </t>
    </r>
    <r>
      <rPr>
        <sz val="11"/>
        <color rgb="FFFF0000"/>
        <rFont val="Aptos Narrow"/>
        <family val="2"/>
        <scheme val="minor"/>
      </rPr>
      <t xml:space="preserve">Forey and Young, 1985 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</si>
  <si>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Stamberg 1991, 2006;</t>
    </r>
    <r>
      <rPr>
        <sz val="11"/>
        <color rgb="FFFF0000"/>
        <rFont val="Aptos Narrow"/>
        <family val="2"/>
        <scheme val="minor"/>
      </rPr>
      <t xml:space="preserve"> Fritsch 1894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</si>
  <si>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Prokofiev 2004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</si>
  <si>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</t>
    </r>
    <r>
      <rPr>
        <sz val="11"/>
        <color rgb="FFFF0000"/>
        <rFont val="Aptos Narrow"/>
        <family val="2"/>
        <scheme val="minor"/>
      </rPr>
      <t>Gardiner 1969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</si>
  <si>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Moy-Thomas 1942</t>
    </r>
    <r>
      <rPr>
        <sz val="11"/>
        <color theme="1"/>
        <rFont val="Aptos Narrow"/>
        <family val="2"/>
        <scheme val="minor"/>
      </rPr>
      <t xml:space="preserve">; Milan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</si>
  <si>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Coates 1998</t>
    </r>
  </si>
  <si>
    <t>Protohaplolepis scotica</t>
  </si>
  <si>
    <t>Loanhead (Scotland)</t>
  </si>
  <si>
    <t>Strepheoschema fouldenensis</t>
  </si>
  <si>
    <t>Foulden (scotland) ; East european platform (Belarus)</t>
  </si>
  <si>
    <t>Tegeolepis clarcki</t>
  </si>
  <si>
    <t>Namurian E2b, Late Serpukhovian</t>
  </si>
  <si>
    <t>Late Moscovian-Early Kasimovian</t>
  </si>
  <si>
    <t>Upper Witteberg Series, Waaipoort formation (Lake Mentz), Western Cape Province, South Africa</t>
  </si>
  <si>
    <t>Bolsovian (Westphalian C)</t>
  </si>
  <si>
    <t>Latest Givetian-Earliest Frasnian</t>
  </si>
  <si>
    <t>Cleveland shale, Ohio shale member, USA</t>
  </si>
  <si>
    <t>Snowy plains formation, Mansfield group, Australia</t>
  </si>
  <si>
    <t>Westphalian D (=Asturian)</t>
  </si>
  <si>
    <t>Linton, Ohio, USA</t>
  </si>
  <si>
    <t>Late Givetian-Early Frasnian</t>
  </si>
  <si>
    <t>eastern Greenland, Obrutschew Bjerg Formation</t>
  </si>
  <si>
    <t>Middle Viséan</t>
  </si>
  <si>
    <t>Slany formation, Central bohemia basin, Czech Republic</t>
  </si>
  <si>
    <t>Early-Middle Kasimovian</t>
  </si>
  <si>
    <t>Manse Burn Formation, Bearsden Scotland</t>
  </si>
  <si>
    <t xml:space="preserve">Namurian E1 = early Serpukhovian </t>
  </si>
  <si>
    <t>Late Tournaisian (Sallan 2013)</t>
  </si>
  <si>
    <t>Foulden Fish Bed, Foulden Burn, Berwickshire, Scotland</t>
  </si>
  <si>
    <t>Glencartholm volcanic member, Scotland</t>
  </si>
  <si>
    <t>Linton, Ohio, USA; Upper Freeport Coal</t>
  </si>
  <si>
    <t>Middle-Late Westphalian D</t>
  </si>
  <si>
    <t>Westphalian D = Asturian</t>
  </si>
  <si>
    <t>Courceyan Substage — Chadian Substage (BGS)</t>
  </si>
  <si>
    <t>Ness of Sound and Dunrossness, South-East Shetland, Old Red Sandstone, Scotland</t>
  </si>
  <si>
    <t>Westphalian A = Upper Bashkirian - Lower Moscovian</t>
  </si>
  <si>
    <t>Late Stephanian B</t>
  </si>
  <si>
    <t>Stephanian B = 303,5-302,5</t>
  </si>
  <si>
    <t>Bude Formation, Cornwall (UK)</t>
  </si>
  <si>
    <t>Langsettian - Bolsovian</t>
  </si>
  <si>
    <t>Famenne Formation, Belgium</t>
  </si>
  <si>
    <t xml:space="preserve">Westphalian B/C </t>
  </si>
  <si>
    <r>
      <t>N</t>
    </r>
    <r>
      <rPr>
        <sz val="11"/>
        <color theme="1"/>
        <rFont val="Calibri"/>
        <family val="2"/>
      </rPr>
      <t>ýř</t>
    </r>
    <r>
      <rPr>
        <sz val="11"/>
        <color theme="1"/>
        <rFont val="Aptos Narrow"/>
        <family val="2"/>
        <scheme val="minor"/>
      </rPr>
      <t>any Member, Central western Bohemia</t>
    </r>
  </si>
  <si>
    <t>Wardie Shales, Forth Bassin (Beds 2-7), Scotland</t>
  </si>
  <si>
    <t>Holkerian-Asbian = Middle Viséan</t>
  </si>
  <si>
    <t>Early-Middle Tournaisian</t>
  </si>
  <si>
    <t>Middle-Late Moscovian</t>
  </si>
  <si>
    <t>Early Serpukhovian</t>
  </si>
  <si>
    <t>Late Tournaisian</t>
  </si>
  <si>
    <t>Givetian (oldest putative age)</t>
  </si>
  <si>
    <t>Early Viséan</t>
  </si>
  <si>
    <t>Langsettian = Wesphalian A = Late Bashkirian - Early Moscovian</t>
  </si>
  <si>
    <r>
      <t xml:space="preserve">Friedman </t>
    </r>
    <r>
      <rPr>
        <i/>
        <sz val="11"/>
        <rFont val="Aptos Narrow"/>
        <family val="2"/>
        <scheme val="minor"/>
      </rPr>
      <t xml:space="preserve">et al. </t>
    </r>
    <r>
      <rPr>
        <sz val="11"/>
        <rFont val="Aptos Narrow"/>
        <family val="2"/>
        <scheme val="minor"/>
      </rPr>
      <t>2018</t>
    </r>
  </si>
  <si>
    <r>
      <t xml:space="preserve">Late Tournaisian - Early Viséan (Esin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2000)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</si>
  <si>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Wood 1982;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</si>
  <si>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Poplin and Véran 1996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</t>
    </r>
    <r>
      <rPr>
        <sz val="11"/>
        <color rgb="FFFF0000"/>
        <rFont val="Aptos Narrow"/>
        <family val="2"/>
        <scheme val="minor"/>
      </rPr>
      <t xml:space="preserve"> Watson 1925</t>
    </r>
  </si>
  <si>
    <r>
      <rPr>
        <sz val="11"/>
        <color rgb="FFFF0000"/>
        <rFont val="Aptos Narrow"/>
        <family val="2"/>
        <scheme val="minor"/>
      </rPr>
      <t>White 1939</t>
    </r>
    <r>
      <rPr>
        <sz val="11"/>
        <color theme="1"/>
        <rFont val="Aptos Narrow"/>
        <family val="2"/>
        <scheme val="minor"/>
      </rPr>
      <t xml:space="preserve">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</si>
  <si>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</si>
  <si>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</si>
  <si>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rPr>
        <sz val="11"/>
        <color rgb="FFFF0000"/>
        <rFont val="Aptos Narrow"/>
        <family val="2"/>
        <scheme val="minor"/>
      </rPr>
      <t xml:space="preserve">Lowney 1980 </t>
    </r>
    <r>
      <rPr>
        <sz val="11"/>
        <color theme="1"/>
        <rFont val="Aptos Narrow"/>
        <family val="2"/>
        <scheme val="minor"/>
      </rPr>
      <t xml:space="preserve">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</t>
    </r>
  </si>
  <si>
    <r>
      <rPr>
        <sz val="11"/>
        <color rgb="FFFF0000"/>
        <rFont val="Aptos Narrow"/>
        <family val="2"/>
        <scheme val="minor"/>
      </rPr>
      <t>Woodward 1893</t>
    </r>
    <r>
      <rPr>
        <sz val="11"/>
        <color theme="1"/>
        <rFont val="Aptos Narrow"/>
        <family val="2"/>
        <scheme val="minor"/>
      </rPr>
      <t xml:space="preserve"> ; Berg 1958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Moseychik and Filimonov 2020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</si>
  <si>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Gardiner 1967;</t>
    </r>
    <r>
      <rPr>
        <sz val="11"/>
        <color rgb="FFFF0000"/>
        <rFont val="Aptos Narrow"/>
        <family val="2"/>
        <scheme val="minor"/>
      </rPr>
      <t xml:space="preserve"> Traquair 1877</t>
    </r>
  </si>
  <si>
    <r>
      <t xml:space="preserve">Berg 1958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2021; </t>
    </r>
    <r>
      <rPr>
        <sz val="11"/>
        <color rgb="FFFF0000"/>
        <rFont val="Aptos Narrow"/>
        <family val="2"/>
        <scheme val="minor"/>
      </rPr>
      <t>Rohon 1889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</si>
  <si>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 </t>
    </r>
    <r>
      <rPr>
        <sz val="11"/>
        <color theme="1"/>
        <rFont val="Aptos Narrow"/>
        <family val="2"/>
        <scheme val="minor"/>
      </rPr>
      <t xml:space="preserve">2021 ; </t>
    </r>
    <r>
      <rPr>
        <sz val="11"/>
        <color rgb="FFFF0000"/>
        <rFont val="Aptos Narrow"/>
        <family val="2"/>
        <scheme val="minor"/>
      </rPr>
      <t>Long 1988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</si>
  <si>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1913</t>
    </r>
  </si>
  <si>
    <r>
      <rPr>
        <sz val="11"/>
        <color rgb="FFFF0000"/>
        <rFont val="Aptos Narrow"/>
        <family val="2"/>
        <scheme val="minor"/>
      </rPr>
      <t xml:space="preserve">Casier 1952 ; </t>
    </r>
    <r>
      <rPr>
        <sz val="11"/>
        <color theme="1"/>
        <rFont val="Aptos Narrow"/>
        <family val="2"/>
        <scheme val="minor"/>
      </rPr>
      <t xml:space="preserve">Taverne 1997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</si>
  <si>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</t>
    </r>
    <r>
      <rPr>
        <sz val="11"/>
        <color rgb="FFFF0000"/>
        <rFont val="Aptos Narrow"/>
        <family val="2"/>
        <scheme val="minor"/>
      </rPr>
      <t xml:space="preserve"> Traquair 1890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</si>
  <si>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1890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</si>
  <si>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</t>
    </r>
    <r>
      <rPr>
        <sz val="11"/>
        <color theme="1"/>
        <rFont val="Aptos Narrow"/>
        <family val="2"/>
        <scheme val="minor"/>
      </rPr>
      <t>. 2021 ; Moy-Thomas and Dyne 1938;</t>
    </r>
    <r>
      <rPr>
        <sz val="11"/>
        <color rgb="FFFF0000"/>
        <rFont val="Aptos Narrow"/>
        <family val="2"/>
        <scheme val="minor"/>
      </rPr>
      <t xml:space="preserve"> Traquair 1881</t>
    </r>
  </si>
  <si>
    <r>
      <rPr>
        <sz val="11"/>
        <color rgb="FFFF0000"/>
        <rFont val="Aptos Narrow"/>
        <family val="2"/>
        <scheme val="minor"/>
      </rPr>
      <t>Lowney 1983</t>
    </r>
    <r>
      <rPr>
        <sz val="11"/>
        <color theme="1"/>
        <rFont val="Aptos Narrow"/>
        <family val="2"/>
        <scheme val="minor"/>
      </rPr>
      <t xml:space="preserve"> ; 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</si>
  <si>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Westoll 1944; </t>
    </r>
    <r>
      <rPr>
        <sz val="11"/>
        <color rgb="FFFF0000"/>
        <rFont val="Aptos Narrow"/>
        <family val="2"/>
        <scheme val="minor"/>
      </rPr>
      <t>Newberry 1856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</si>
  <si>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Westoll 1944; Stamberg 2006;</t>
    </r>
    <r>
      <rPr>
        <sz val="11"/>
        <color rgb="FFFF0000"/>
        <rFont val="Aptos Narrow"/>
        <family val="2"/>
        <scheme val="minor"/>
      </rPr>
      <t xml:space="preserve"> Fritsch 1875</t>
    </r>
  </si>
  <si>
    <r>
      <t>Schultze</t>
    </r>
    <r>
      <rPr>
        <i/>
        <sz val="11"/>
        <color theme="1"/>
        <rFont val="Aptos Narrow"/>
        <family val="2"/>
        <scheme val="minor"/>
      </rPr>
      <t xml:space="preserve"> et al.</t>
    </r>
    <r>
      <rPr>
        <sz val="11"/>
        <color theme="1"/>
        <rFont val="Aptos Narrow"/>
        <family val="2"/>
        <scheme val="minor"/>
      </rPr>
      <t xml:space="preserve"> 2021 ; Moy-Thomas and Dyne 1938; </t>
    </r>
    <r>
      <rPr>
        <sz val="11"/>
        <color rgb="FFFF0000"/>
        <rFont val="Aptos Narrow"/>
        <family val="2"/>
        <scheme val="minor"/>
      </rPr>
      <t>Traquair 1909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</si>
  <si>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Traquair 1911 ; Brindley and Spinner 1989; </t>
    </r>
    <r>
      <rPr>
        <sz val="11"/>
        <color rgb="FFFF0000"/>
        <rFont val="Aptos Narrow"/>
        <family val="2"/>
        <scheme val="minor"/>
      </rPr>
      <t>Agassiz 1835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</si>
  <si>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Stamberg 1991; </t>
    </r>
    <r>
      <rPr>
        <sz val="11"/>
        <color rgb="FFFF0000"/>
        <rFont val="Aptos Narrow"/>
        <family val="2"/>
        <scheme val="minor"/>
      </rPr>
      <t>Fritsch 1877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</si>
  <si>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White 1927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</si>
  <si>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 xml:space="preserve">et al. </t>
    </r>
    <r>
      <rPr>
        <sz val="11"/>
        <color theme="1"/>
        <rFont val="Aptos Narrow"/>
        <family val="2"/>
        <scheme val="minor"/>
      </rPr>
      <t xml:space="preserve">2021 ; Sallan 2013; </t>
    </r>
    <r>
      <rPr>
        <sz val="11"/>
        <color rgb="FFFF0000"/>
        <rFont val="Aptos Narrow"/>
        <family val="2"/>
        <scheme val="minor"/>
      </rPr>
      <t>Traquair 1881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</si>
  <si>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Stack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2020; Lucas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2011; </t>
    </r>
    <r>
      <rPr>
        <sz val="11"/>
        <color rgb="FFFF0000"/>
        <rFont val="Aptos Narrow"/>
        <family val="2"/>
        <scheme val="minor"/>
      </rPr>
      <t>Gottfried, 1987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</si>
  <si>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 </t>
    </r>
    <r>
      <rPr>
        <sz val="11"/>
        <color rgb="FFFF0000"/>
        <rFont val="Aptos Narrow"/>
        <family val="2"/>
        <scheme val="minor"/>
      </rPr>
      <t>Miller 1892</t>
    </r>
  </si>
  <si>
    <r>
      <t xml:space="preserve">Schultze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2021 ;</t>
    </r>
    <r>
      <rPr>
        <sz val="11"/>
        <color rgb="FFFF0000"/>
        <rFont val="Aptos Narrow"/>
        <family val="2"/>
        <scheme val="minor"/>
      </rPr>
      <t xml:space="preserve"> Lund and Poplin 1997</t>
    </r>
  </si>
  <si>
    <r>
      <rPr>
        <sz val="11"/>
        <color rgb="FFFF0000"/>
        <rFont val="Aptos Narrow"/>
        <family val="2"/>
        <scheme val="minor"/>
      </rPr>
      <t>Lowney 1991</t>
    </r>
    <r>
      <rPr>
        <sz val="11"/>
        <rFont val="Aptos Narrow"/>
        <family val="2"/>
        <scheme val="minor"/>
      </rPr>
      <t xml:space="preserve"> ; Schultze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2021</t>
    </r>
  </si>
  <si>
    <t>Stephanian B/C (Gzhelian, inferior limit of Stephanian B = 303,5)</t>
  </si>
  <si>
    <r>
      <t xml:space="preserve">Late Famennian, Late Tournaisian-Early Viséan (Esin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2000), Middle Viséan</t>
    </r>
  </si>
  <si>
    <t xml:space="preserve">Namurian E1 = Early Serpukhovian </t>
  </si>
  <si>
    <r>
      <t xml:space="preserve">Friedman </t>
    </r>
    <r>
      <rPr>
        <i/>
        <sz val="11"/>
        <rFont val="Aptos Narrow"/>
        <family val="2"/>
        <scheme val="minor"/>
      </rPr>
      <t>et al.</t>
    </r>
    <r>
      <rPr>
        <sz val="11"/>
        <rFont val="Aptos Narrow"/>
        <family val="2"/>
        <scheme val="minor"/>
      </rPr>
      <t xml:space="preserve"> 2018</t>
    </r>
  </si>
  <si>
    <t>Early Famennian, Taverne 1997</t>
  </si>
  <si>
    <t>Late Moscovian - Early Kasimovian</t>
  </si>
  <si>
    <t>Holkerian (Sallan 2013)</t>
  </si>
  <si>
    <t>Late Bahkirian-Early Moscovian</t>
  </si>
  <si>
    <r>
      <t xml:space="preserve">Arratia and Cloutier 1996; Arratia </t>
    </r>
    <r>
      <rPr>
        <i/>
        <sz val="11"/>
        <color theme="1"/>
        <rFont val="Aptos Narrow"/>
        <family val="2"/>
        <scheme val="minor"/>
      </rPr>
      <t>et al.</t>
    </r>
    <r>
      <rPr>
        <sz val="11"/>
        <color theme="1"/>
        <rFont val="Aptos Narrow"/>
        <family val="2"/>
        <scheme val="minor"/>
      </rPr>
      <t xml:space="preserve"> 2004; </t>
    </r>
    <r>
      <rPr>
        <sz val="11"/>
        <color rgb="FFFF0000"/>
        <rFont val="Aptos Narrow"/>
        <family val="2"/>
        <scheme val="minor"/>
      </rPr>
      <t>Whiteaves 1881</t>
    </r>
  </si>
  <si>
    <r>
      <rPr>
        <sz val="11"/>
        <color rgb="FFFF0000"/>
        <rFont val="Aptos Narrow"/>
        <family val="2"/>
        <scheme val="minor"/>
      </rPr>
      <t>Arratia and Cloutier 2004</t>
    </r>
    <r>
      <rPr>
        <sz val="11"/>
        <color theme="1"/>
        <rFont val="Aptos Narrow"/>
        <family val="2"/>
        <scheme val="minor"/>
      </rPr>
      <t xml:space="preserve"> ; Newman</t>
    </r>
    <r>
      <rPr>
        <i/>
        <sz val="11"/>
        <color theme="1"/>
        <rFont val="Aptos Narrow"/>
        <family val="2"/>
        <scheme val="minor"/>
      </rPr>
      <t xml:space="preserve"> et al .</t>
    </r>
    <r>
      <rPr>
        <sz val="11"/>
        <color theme="1"/>
        <rFont val="Aptos Narrow"/>
        <family val="2"/>
        <scheme val="minor"/>
      </rPr>
      <t xml:space="preserve"> 2021</t>
    </r>
  </si>
  <si>
    <r>
      <t xml:space="preserve">Choo 2015; </t>
    </r>
    <r>
      <rPr>
        <sz val="11"/>
        <color rgb="FFFF0000"/>
        <rFont val="Aptos Narrow"/>
        <family val="2"/>
        <scheme val="minor"/>
      </rPr>
      <t>Gardiner and Bartram 1977</t>
    </r>
  </si>
  <si>
    <t>Namurian E2b = Late Serpukhovian</t>
  </si>
  <si>
    <t>Precise localisation</t>
  </si>
  <si>
    <t>46.9919° N, 108.9235° W</t>
  </si>
  <si>
    <t>55° 55′ 47″ N 4° 21′ 13″ W ; lat 55.92980, long -4.35370</t>
  </si>
  <si>
    <t>50.3186° N, 4.7522° E</t>
  </si>
  <si>
    <t>45.9° N, 64.7° W</t>
  </si>
  <si>
    <t>lat -18,30000 long 126,50000</t>
  </si>
  <si>
    <t>lat -77,78333 long 160,46670</t>
  </si>
  <si>
    <t>lat 48,10338 long -66,34886</t>
  </si>
  <si>
    <t>50.99226634131907, 7.1520954697879615</t>
  </si>
  <si>
    <t>Bergisch Gladbach, Heiligenstock quarry, Germany</t>
  </si>
  <si>
    <t>Bergisch Gladbach, Heiligenstock quarry,Germany</t>
  </si>
  <si>
    <t>59.90058384437666, -1.2461572303832862 and 60.13348553313105, -1.1521861806544462</t>
  </si>
  <si>
    <t>59.07727, -3.30908</t>
  </si>
  <si>
    <t>38.16952, -115.74990</t>
  </si>
  <si>
    <t>lat -37,17467 long 146,64846</t>
  </si>
  <si>
    <t>39.4°N 83.6°W</t>
  </si>
  <si>
    <t>50.09469, 4.51843</t>
  </si>
  <si>
    <t>41.34038, -77.64733</t>
  </si>
  <si>
    <t>Glencartholm, Dumfries and Galloway (scotland); Borov and Rubchan Beds of the Polese Regional Stage</t>
  </si>
  <si>
    <t>55.10371, -2.97670 and 52.43302, 30.97606</t>
  </si>
  <si>
    <t>73.126333, -23.335047</t>
  </si>
  <si>
    <t>35.00104, -106.33765</t>
  </si>
  <si>
    <t>40.56789, -80.70234</t>
  </si>
  <si>
    <t>40.56789, -80.70234 and 39.57062, -84.19231</t>
  </si>
  <si>
    <t>Nýřany, Bohemia, Czech Republic</t>
  </si>
  <si>
    <t>49.71456, 13.20083</t>
  </si>
  <si>
    <t>53.84377, -2.13805</t>
  </si>
  <si>
    <t>50.82660, -4.54385</t>
  </si>
  <si>
    <t>41.26115, -88.34073</t>
  </si>
  <si>
    <t>46.28733, 2.74120</t>
  </si>
  <si>
    <t>72.23257, -23.92120</t>
  </si>
  <si>
    <t xml:space="preserve">53.84366, -2.13673 </t>
  </si>
  <si>
    <t>Kounov Basin, Bohemian Basin, Czech Republic</t>
  </si>
  <si>
    <t>50.21328, 13.67517</t>
  </si>
  <si>
    <t>49.83998, 13.31302</t>
  </si>
  <si>
    <t>53.60898, -2.15918</t>
  </si>
  <si>
    <t>38.68851, -4.10623</t>
  </si>
  <si>
    <t xml:space="preserve"> - 33.16435, 25.18190</t>
  </si>
  <si>
    <t>Bear Gulch, Heath Formation, Big Snowy Group, South west Becket, Montana, USA</t>
  </si>
  <si>
    <t>55.15262, -3.00034</t>
  </si>
  <si>
    <t>37°011 ’S, 146°224’E</t>
  </si>
  <si>
    <t>Glencartholm, Eksdale, Dumfries and Galloway, Scotland</t>
  </si>
  <si>
    <t>55.18998, -3.06666</t>
  </si>
  <si>
    <t>55.79436, -2.10661</t>
  </si>
  <si>
    <t>55.79436, -2.10661 and 52.06715, 27.74177</t>
  </si>
  <si>
    <t>Foulden, Scotland; east European plateform, Turaŭ, Belarus</t>
  </si>
  <si>
    <t>55.98060, -3.21109</t>
  </si>
  <si>
    <t>Herbesskaya Formation, Senek Creek, Southwestern Siberia, Russia</t>
  </si>
  <si>
    <t>50.9667,91.2667</t>
  </si>
  <si>
    <t>46.67440, 4.36266</t>
  </si>
  <si>
    <t>55.870971 , -3.1585543</t>
  </si>
  <si>
    <t>Montceau-les-Mines, Buxières-les-mines, France</t>
  </si>
  <si>
    <t>46.47002, 2.96390</t>
  </si>
  <si>
    <t>Bear Gulch, Southof Becket, Montana USA</t>
  </si>
  <si>
    <t>Bear Gulch, Southwest of Becket, Montana, USA</t>
  </si>
  <si>
    <t>55.88428, -3.16631</t>
  </si>
  <si>
    <t>Bridge creek, junction with the Broken river, 5km northeast of Mansfield Australia</t>
  </si>
  <si>
    <t>Plzeň, Bohemia Czech Republic</t>
  </si>
  <si>
    <t>49.73874, 13.37152</t>
  </si>
  <si>
    <t>55.3841, 89.8114</t>
  </si>
  <si>
    <t>Bystryanskaya Formation, Uzhur, Minusinsk (Russia)</t>
  </si>
  <si>
    <t>Knowles Ironstone Member, Pennine Middle Coal Measures Formation, UK</t>
  </si>
  <si>
    <t>53.005, -2.1796</t>
  </si>
  <si>
    <t>Borough Lee Ironstone, Edge Coal Series, Loanhead locality, Scotland</t>
  </si>
  <si>
    <t>55.87596, -3.15351</t>
  </si>
  <si>
    <t>Knowles Ironstone band of the Winghay Coal in Fenton Colliery, Fenton, Staffordshire UK</t>
  </si>
  <si>
    <t>52.99679, -2.15727</t>
  </si>
  <si>
    <t xml:space="preserve"> 27.74177</t>
  </si>
  <si>
    <t>max_ma</t>
  </si>
  <si>
    <t>min_ma</t>
  </si>
  <si>
    <t>Gyrolepidotus microlepis</t>
  </si>
  <si>
    <t>Chirodus granulosus</t>
  </si>
  <si>
    <r>
      <rPr>
        <sz val="11"/>
        <color rgb="FFFF0000"/>
        <rFont val="Aptos Narrow"/>
        <family val="2"/>
        <scheme val="minor"/>
      </rPr>
      <t>Berg 1958</t>
    </r>
    <r>
      <rPr>
        <sz val="11"/>
        <color theme="1"/>
        <rFont val="Aptos Narrow"/>
        <family val="2"/>
        <scheme val="minor"/>
      </rPr>
      <t xml:space="preserve"> ; Schultze et al. 2021</t>
    </r>
  </si>
  <si>
    <t>Minusinsk, Russia</t>
  </si>
  <si>
    <t>53.69950339913683, 91.69309736192673</t>
  </si>
  <si>
    <t>53.69950339913683</t>
  </si>
  <si>
    <t>91.69309736192673</t>
  </si>
  <si>
    <t>59.90058384437666</t>
  </si>
  <si>
    <t>-1.2461572303832862</t>
  </si>
  <si>
    <t>60.13348553313105</t>
  </si>
  <si>
    <t>-1.1521861806544462</t>
  </si>
  <si>
    <t>-2.10661</t>
  </si>
  <si>
    <t>55.79436</t>
  </si>
  <si>
    <t>55.18998</t>
  </si>
  <si>
    <t xml:space="preserve"> 25.18190</t>
  </si>
  <si>
    <t xml:space="preserve"> - 33.16435</t>
  </si>
  <si>
    <t>-106.33765</t>
  </si>
  <si>
    <t>55.15262</t>
  </si>
  <si>
    <t>72.23257</t>
  </si>
  <si>
    <t xml:space="preserve"> -3.00034</t>
  </si>
  <si>
    <t>13.31302</t>
  </si>
  <si>
    <t>49.83998</t>
  </si>
  <si>
    <t>25.1819</t>
  </si>
  <si>
    <t>-33.16435</t>
  </si>
  <si>
    <t>4.36266</t>
  </si>
  <si>
    <t>46.6744</t>
  </si>
  <si>
    <t>-108.9235</t>
  </si>
  <si>
    <t>46.9919</t>
  </si>
  <si>
    <t>52.06715</t>
  </si>
  <si>
    <t>4.7522</t>
  </si>
  <si>
    <t>50.3186</t>
  </si>
  <si>
    <t>2.9639</t>
  </si>
  <si>
    <t>46.47002</t>
  </si>
  <si>
    <t>-3.06666</t>
  </si>
  <si>
    <t>-66.34886</t>
  </si>
  <si>
    <t>48.10338</t>
  </si>
  <si>
    <t>-115.7499</t>
  </si>
  <si>
    <t>38.16952</t>
  </si>
  <si>
    <t>-3.30908</t>
  </si>
  <si>
    <t>59.07727</t>
  </si>
  <si>
    <t>-2.15727</t>
  </si>
  <si>
    <t>52.99679</t>
  </si>
  <si>
    <t>-2.13805</t>
  </si>
  <si>
    <t>53.84377</t>
  </si>
  <si>
    <t>2.7412</t>
  </si>
  <si>
    <t>46.28733</t>
  </si>
  <si>
    <t>-4.54385</t>
  </si>
  <si>
    <t>50.8266</t>
  </si>
  <si>
    <t>-3.21109</t>
  </si>
  <si>
    <t>55.9806</t>
  </si>
  <si>
    <t>-3.15351</t>
  </si>
  <si>
    <t>55.87596</t>
  </si>
  <si>
    <t>-23.335047</t>
  </si>
  <si>
    <t>73.126333</t>
  </si>
  <si>
    <t>160.4667</t>
  </si>
  <si>
    <t>-77.78333</t>
  </si>
  <si>
    <t>-64.7</t>
  </si>
  <si>
    <t>45.9</t>
  </si>
  <si>
    <t>-88.34073</t>
  </si>
  <si>
    <t>41.26115</t>
  </si>
  <si>
    <t>13.37152</t>
  </si>
  <si>
    <t>49.73874</t>
  </si>
  <si>
    <t>-2.9767</t>
  </si>
  <si>
    <t>55.10371</t>
  </si>
  <si>
    <t>30.97606</t>
  </si>
  <si>
    <t>52.43302</t>
  </si>
  <si>
    <t>-4.2113</t>
  </si>
  <si>
    <t>55.5547</t>
  </si>
  <si>
    <t>-4.3537</t>
  </si>
  <si>
    <t>55.9298</t>
  </si>
  <si>
    <t>-108.2135</t>
  </si>
  <si>
    <t>89.8114</t>
  </si>
  <si>
    <t>55.3841</t>
  </si>
  <si>
    <t>126.5</t>
  </si>
  <si>
    <t>-18.3</t>
  </si>
  <si>
    <t>-80.70234</t>
  </si>
  <si>
    <t>40.56789</t>
  </si>
  <si>
    <t>146.64846</t>
  </si>
  <si>
    <t>-37.17467</t>
  </si>
  <si>
    <t>-77.64733</t>
  </si>
  <si>
    <t>41.34038</t>
  </si>
  <si>
    <t>146.224</t>
  </si>
  <si>
    <t>-37.011</t>
  </si>
  <si>
    <t>4.2113</t>
  </si>
  <si>
    <t>-2.1796</t>
  </si>
  <si>
    <t>53.005</t>
  </si>
  <si>
    <t>7.15209546978796</t>
  </si>
  <si>
    <t>50.992266341319</t>
  </si>
  <si>
    <t>4.51843</t>
  </si>
  <si>
    <t>50.09469</t>
  </si>
  <si>
    <t>4.366266</t>
  </si>
  <si>
    <t>-2.15918</t>
  </si>
  <si>
    <t>53.60898</t>
  </si>
  <si>
    <t>3.06666</t>
  </si>
  <si>
    <t>-3.1585543</t>
  </si>
  <si>
    <t>55.870971</t>
  </si>
  <si>
    <t>-4.10623</t>
  </si>
  <si>
    <t>38.68851</t>
  </si>
  <si>
    <t>-84.19231</t>
  </si>
  <si>
    <t>39.57062</t>
  </si>
  <si>
    <t>13.20083</t>
  </si>
  <si>
    <t>49.71456</t>
  </si>
  <si>
    <t>-3.16631</t>
  </si>
  <si>
    <t>55.88428</t>
  </si>
  <si>
    <t>35.00104</t>
  </si>
  <si>
    <t>91.2667</t>
  </si>
  <si>
    <t>50.9667</t>
  </si>
  <si>
    <t>13.67517</t>
  </si>
  <si>
    <t>50.21328</t>
  </si>
  <si>
    <t>-83.6</t>
  </si>
  <si>
    <t>39.4</t>
  </si>
  <si>
    <t>-2.13673</t>
  </si>
  <si>
    <t>53.84366</t>
  </si>
  <si>
    <t>-23.9212</t>
  </si>
  <si>
    <t>Aetheretmon valentiacum*</t>
  </si>
  <si>
    <t>Elonichthys pulcherrimus*</t>
  </si>
  <si>
    <t>Frederichthys musadentatus*</t>
  </si>
  <si>
    <t>Melanecta anneae*</t>
  </si>
  <si>
    <t>Mesopoma carriki*</t>
  </si>
  <si>
    <t>Pyritocephalus lineatus*</t>
  </si>
  <si>
    <t>Stegotrachelus finlayi*</t>
  </si>
  <si>
    <t>lng</t>
  </si>
  <si>
    <t>lat</t>
  </si>
  <si>
    <t>Time_bin</t>
  </si>
  <si>
    <t>Body shape</t>
  </si>
  <si>
    <t>Skull shape</t>
  </si>
  <si>
    <t>x</t>
  </si>
  <si>
    <r>
      <t xml:space="preserve">Middle Viséan ; Synonymy </t>
    </r>
    <r>
      <rPr>
        <i/>
        <sz val="11"/>
        <rFont val="Aptos Narrow"/>
        <family val="2"/>
        <scheme val="minor"/>
      </rPr>
      <t>Mesopoma fusiforme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</si>
</sst>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0.00000"/>
    <numFmt numFmtId="165" formatCode="0.000000000000"/>
    <numFmt numFmtId="166" formatCode="0.00000000000000"/>
  </numFmts>
  <fonts count="1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2"/>
      <color indexed="8"/>
      <name val="Verdana"/>
      <family val="2"/>
    </font>
    <font>
      <i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i/>
      <sz val="11"/>
      <color rgb="FFFF0000"/>
      <name val="Aptos Narrow"/>
      <family val="2"/>
      <scheme val="minor"/>
    </font>
    <font>
      <i/>
      <sz val="11"/>
      <name val="Aptos Narrow"/>
      <family val="2"/>
      <scheme val="minor"/>
    </font>
    <font>
      <i/>
      <sz val="11"/>
      <color rgb="FF000000"/>
      <name val="Aptos Narrow"/>
      <family val="2"/>
      <scheme val="minor"/>
    </font>
    <font>
      <sz val="11"/>
      <color theme="1"/>
      <name val="Calibri"/>
      <family val="2"/>
    </font>
    <font>
      <u/>
      <sz val="11"/>
      <color theme="1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3" fillId="0" borderId="0" applyNumberFormat="0" applyFill="0" applyBorder="0" applyProtection="0">
      <alignment vertical="top" wrapText="1"/>
    </xf>
    <xf numFmtId="0" fontId="10" fillId="0" borderId="0" applyNumberFormat="0" applyFill="0" applyBorder="0" applyAlignment="0" applyProtection="0"/>
  </cellStyleXfs>
  <cellXfs count="35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7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164" fontId="0" fillId="0" borderId="0" xfId="0" applyNumberFormat="1" applyAlignment="1">
      <alignment vertical="center"/>
    </xf>
    <xf numFmtId="0" fontId="8" fillId="0" borderId="0" xfId="0" applyFont="1" applyAlignment="1">
      <alignment horizontal="left" vertical="center" readingOrder="1"/>
    </xf>
    <xf numFmtId="0" fontId="4" fillId="0" borderId="0" xfId="0" applyFont="1" applyAlignment="1">
      <alignment horizontal="left" vertical="center"/>
    </xf>
    <xf numFmtId="20" fontId="0" fillId="0" borderId="0" xfId="0" applyNumberFormat="1" applyAlignment="1">
      <alignment vertical="center"/>
    </xf>
    <xf numFmtId="0" fontId="2" fillId="0" borderId="0" xfId="0" applyFont="1" applyAlignment="1">
      <alignment wrapText="1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 wrapText="1" readingOrder="1"/>
    </xf>
    <xf numFmtId="166" fontId="0" fillId="0" borderId="0" xfId="0" applyNumberFormat="1" applyAlignment="1">
      <alignment vertical="center"/>
    </xf>
    <xf numFmtId="0" fontId="5" fillId="0" borderId="0" xfId="2" applyFont="1" applyFill="1" applyAlignment="1">
      <alignment vertical="center"/>
    </xf>
    <xf numFmtId="0" fontId="5" fillId="0" borderId="0" xfId="0" applyFont="1"/>
    <xf numFmtId="0" fontId="5" fillId="0" borderId="0" xfId="0" applyFont="1" applyAlignment="1">
      <alignment wrapText="1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vertical="center"/>
    </xf>
    <xf numFmtId="0" fontId="11" fillId="0" borderId="0" xfId="0" applyFont="1" applyAlignment="1">
      <alignment horizontal="center" vertical="center"/>
    </xf>
    <xf numFmtId="0" fontId="5" fillId="0" borderId="0" xfId="0" applyFont="1" applyFill="1" applyAlignment="1">
      <alignment horizontal="left" vertical="center" wrapText="1"/>
    </xf>
  </cellXfs>
  <cellStyles count="3">
    <cellStyle name="Lien hypertexte" xfId="2" builtinId="8"/>
    <cellStyle name="Normal" xfId="0" builtinId="0"/>
    <cellStyle name="Normal 2" xfId="1" xr:uid="{E45C9923-C6D8-47DF-8A4E-A8EF906F2704}"/>
  </cellStyles>
  <dxfs count="19"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6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left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</font>
      <fill>
        <patternFill patternType="none">
          <fgColor indexed="64"/>
          <bgColor auto="1"/>
        </patternFill>
      </fill>
    </dxf>
    <dxf>
      <border outline="0">
        <bottom style="double">
          <color indexed="64"/>
        </bottom>
      </border>
    </dxf>
    <dxf>
      <font>
        <strike val="0"/>
        <outline val="0"/>
        <shadow val="0"/>
        <u val="none"/>
        <vertAlign val="baseline"/>
        <sz val="11"/>
      </font>
      <fill>
        <patternFill patternType="solid">
          <fgColor indexed="64"/>
          <bgColor theme="1"/>
        </patternFill>
      </fill>
    </dxf>
  </dxfs>
  <tableStyles count="1" defaultTableStyle="TableStyleMedium2" defaultPivotStyle="PivotStyleLight16">
    <tableStyle name="Style de tableau 1" pivot="0" count="0" xr9:uid="{D571ED02-A501-4693-AEE5-13D540688A49}"/>
  </tableStyles>
  <colors>
    <mruColors>
      <color rgb="FFC0E6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28CECD0-F1A8-4CDD-BF36-D8A10E7FCB29}" name="Tableau1" displayName="Tableau1" ref="A1:P114" totalsRowShown="0" headerRowDxfId="18" dataDxfId="16" headerRowBorderDxfId="17">
  <autoFilter ref="A1:P114" xr:uid="{328CECD0-F1A8-4CDD-BF36-D8A10E7FCB29}"/>
  <tableColumns count="16">
    <tableColumn id="1" xr3:uid="{164CC65C-66B1-4C87-A12B-03EF7228A9FB}" name="Species" dataDxfId="15"/>
    <tableColumn id="2" xr3:uid="{BE6EAB61-E7C5-4A97-96EF-685A3481A1B6}" name="Class" dataDxfId="14"/>
    <tableColumn id="3" xr3:uid="{FD5564B4-0B4C-40B0-9A1F-0336F4820C43}" name="Periode" dataDxfId="13"/>
    <tableColumn id="4" xr3:uid="{C210FAE3-5E5D-407E-B6E0-5ECB7F4EFB99}" name="Epoque" dataDxfId="12"/>
    <tableColumn id="5" xr3:uid="{BCFC314F-02D2-436B-8040-6B48ED266381}" name="Age" dataDxfId="11"/>
    <tableColumn id="6" xr3:uid="{C7A7260B-EF17-4D59-9462-5000DA3BEC4F}" name="Formation/Country" dataDxfId="10"/>
    <tableColumn id="7" xr3:uid="{92B0F3A4-41C0-4D1A-B43C-A07A74F4DF20}" name="Ref" dataDxfId="9"/>
    <tableColumn id="8" xr3:uid="{A0BF12E9-0AA7-4F2A-88AB-3EC849F48FBB}" name="max_ma" dataDxfId="8"/>
    <tableColumn id="9" xr3:uid="{01A84E2D-7C4E-4149-8C3B-7400BAC667C2}" name="min_ma" dataDxfId="7"/>
    <tableColumn id="10" xr3:uid="{69A7CDC4-C6EB-4B1D-8CC7-6767880E9598}" name="Notes" dataDxfId="6"/>
    <tableColumn id="12" xr3:uid="{5ADFC761-FA11-42EF-9D8B-9963775DC563}" name="Precise localisation" dataDxfId="5"/>
    <tableColumn id="11" xr3:uid="{9B39024A-F3A6-4F8C-B8B8-2369D2D82768}" name="lng" dataDxfId="4"/>
    <tableColumn id="13" xr3:uid="{4A9FC5DE-162A-4406-A0A5-F390B4C09934}" name="lat" dataDxfId="3"/>
    <tableColumn id="15" xr3:uid="{DC121AA2-E881-4B3C-B040-3436136AE5AE}" name="Time_bin" dataDxfId="2"/>
    <tableColumn id="14" xr3:uid="{A944C19C-95C4-4915-A26A-5AEACEC4B711}" name="Body shape" dataDxfId="1"/>
    <tableColumn id="16" xr3:uid="{3AC090D5-1A2C-4DB8-AD9C-AB0B10AE8A93}" name="Skull shape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eohack.toolforge.org/geohack.php?pagename=Cleveland_Shale&amp;params=39.4_N_83.6_W_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CD829-EBCF-4630-88FA-26A00F83F0E1}">
  <dimension ref="A1:P116"/>
  <sheetViews>
    <sheetView tabSelected="1" zoomScale="78" zoomScaleNormal="57" workbookViewId="0">
      <pane xSplit="1" topLeftCell="H1" activePane="topRight" state="frozen"/>
      <selection pane="topRight" activeCell="J103" sqref="J103"/>
    </sheetView>
  </sheetViews>
  <sheetFormatPr baseColWidth="10" defaultRowHeight="14.4" x14ac:dyDescent="0.3"/>
  <cols>
    <col min="1" max="1" width="29.88671875" bestFit="1" customWidth="1"/>
    <col min="2" max="2" width="14.21875" bestFit="1" customWidth="1"/>
    <col min="3" max="3" width="13" bestFit="1" customWidth="1"/>
    <col min="4" max="4" width="15" bestFit="1" customWidth="1"/>
    <col min="5" max="5" width="15.21875" bestFit="1" customWidth="1"/>
    <col min="6" max="6" width="38.88671875" customWidth="1"/>
    <col min="7" max="7" width="34.33203125" customWidth="1"/>
    <col min="8" max="8" width="9.109375" style="8" bestFit="1" customWidth="1"/>
    <col min="9" max="9" width="9" style="8" bestFit="1" customWidth="1"/>
    <col min="10" max="10" width="54.6640625" style="6" customWidth="1"/>
    <col min="11" max="11" width="21.88671875" style="5" customWidth="1"/>
    <col min="12" max="12" width="19.44140625" style="5" customWidth="1"/>
    <col min="13" max="13" width="18.88671875" style="5" bestFit="1" customWidth="1"/>
    <col min="14" max="14" width="11.33203125" style="9" bestFit="1" customWidth="1"/>
    <col min="15" max="15" width="14" style="5" customWidth="1"/>
    <col min="16" max="16" width="14.5546875" style="5" customWidth="1"/>
  </cols>
  <sheetData>
    <row r="1" spans="1:1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3" t="s">
        <v>383</v>
      </c>
      <c r="I1" s="3" t="s">
        <v>384</v>
      </c>
      <c r="J1" s="7" t="s">
        <v>7</v>
      </c>
      <c r="K1" s="1" t="s">
        <v>315</v>
      </c>
      <c r="L1" s="1" t="s">
        <v>506</v>
      </c>
      <c r="M1" s="1" t="s">
        <v>507</v>
      </c>
      <c r="N1" s="3" t="s">
        <v>508</v>
      </c>
      <c r="O1" s="1" t="s">
        <v>509</v>
      </c>
      <c r="P1" s="1" t="s">
        <v>510</v>
      </c>
    </row>
    <row r="2" spans="1:16" ht="29.4" thickTop="1" x14ac:dyDescent="0.3">
      <c r="A2" s="10" t="s">
        <v>13</v>
      </c>
      <c r="B2" s="5" t="s">
        <v>14</v>
      </c>
      <c r="C2" s="5" t="s">
        <v>8</v>
      </c>
      <c r="D2" s="5" t="s">
        <v>9</v>
      </c>
      <c r="E2" s="5" t="s">
        <v>30</v>
      </c>
      <c r="F2" s="11" t="s">
        <v>245</v>
      </c>
      <c r="G2" s="11" t="s">
        <v>16</v>
      </c>
      <c r="H2" s="12">
        <v>303.5</v>
      </c>
      <c r="I2" s="12">
        <v>302.5</v>
      </c>
      <c r="J2" s="13" t="s">
        <v>259</v>
      </c>
      <c r="K2" s="5" t="s">
        <v>349</v>
      </c>
      <c r="L2" s="5" t="s">
        <v>405</v>
      </c>
      <c r="M2" s="5" t="s">
        <v>406</v>
      </c>
      <c r="N2" s="9">
        <v>42</v>
      </c>
      <c r="O2" s="33" t="s">
        <v>511</v>
      </c>
      <c r="P2" s="33"/>
    </row>
    <row r="3" spans="1:16" ht="43.2" x14ac:dyDescent="0.3">
      <c r="A3" s="10" t="s">
        <v>17</v>
      </c>
      <c r="B3" s="5" t="s">
        <v>14</v>
      </c>
      <c r="C3" s="5" t="s">
        <v>8</v>
      </c>
      <c r="D3" s="5" t="s">
        <v>10</v>
      </c>
      <c r="E3" s="5" t="s">
        <v>18</v>
      </c>
      <c r="F3" s="11" t="s">
        <v>235</v>
      </c>
      <c r="G3" s="11" t="s">
        <v>194</v>
      </c>
      <c r="H3" s="12">
        <v>346.7</v>
      </c>
      <c r="I3" s="12">
        <v>330.9</v>
      </c>
      <c r="J3" s="13" t="s">
        <v>18</v>
      </c>
      <c r="K3" s="5" t="s">
        <v>352</v>
      </c>
      <c r="L3" s="5" t="s">
        <v>407</v>
      </c>
      <c r="M3" s="5" t="s">
        <v>408</v>
      </c>
      <c r="N3" s="9">
        <f>37</f>
        <v>37</v>
      </c>
      <c r="O3" s="33" t="s">
        <v>511</v>
      </c>
      <c r="P3" s="33" t="s">
        <v>511</v>
      </c>
    </row>
    <row r="4" spans="1:16" ht="28.8" x14ac:dyDescent="0.3">
      <c r="A4" s="10" t="s">
        <v>19</v>
      </c>
      <c r="B4" s="5" t="s">
        <v>14</v>
      </c>
      <c r="C4" s="5" t="s">
        <v>8</v>
      </c>
      <c r="D4" s="5" t="s">
        <v>9</v>
      </c>
      <c r="E4" s="11" t="s">
        <v>77</v>
      </c>
      <c r="F4" s="11" t="s">
        <v>20</v>
      </c>
      <c r="G4" s="11" t="s">
        <v>21</v>
      </c>
      <c r="H4" s="12">
        <v>307</v>
      </c>
      <c r="I4" s="12">
        <v>303.7</v>
      </c>
      <c r="J4" s="13" t="s">
        <v>77</v>
      </c>
      <c r="K4" s="5" t="s">
        <v>364</v>
      </c>
      <c r="L4" s="5" t="s">
        <v>409</v>
      </c>
      <c r="M4" s="5" t="s">
        <v>410</v>
      </c>
      <c r="N4" s="9">
        <v>41</v>
      </c>
      <c r="O4" s="33" t="s">
        <v>511</v>
      </c>
      <c r="P4" s="33"/>
    </row>
    <row r="5" spans="1:16" ht="28.8" x14ac:dyDescent="0.3">
      <c r="A5" s="10" t="s">
        <v>22</v>
      </c>
      <c r="B5" s="5" t="s">
        <v>14</v>
      </c>
      <c r="C5" s="5" t="s">
        <v>8</v>
      </c>
      <c r="D5" s="5" t="s">
        <v>10</v>
      </c>
      <c r="E5" s="5" t="s">
        <v>23</v>
      </c>
      <c r="F5" s="11" t="s">
        <v>24</v>
      </c>
      <c r="G5" s="14" t="s">
        <v>25</v>
      </c>
      <c r="H5" s="12">
        <v>325.76</v>
      </c>
      <c r="I5" s="12">
        <v>323.2</v>
      </c>
      <c r="J5" s="13" t="s">
        <v>233</v>
      </c>
      <c r="K5" s="5" t="s">
        <v>316</v>
      </c>
      <c r="L5" s="5" t="s">
        <v>411</v>
      </c>
      <c r="M5" s="5" t="s">
        <v>412</v>
      </c>
      <c r="N5" s="9">
        <f>38</f>
        <v>38</v>
      </c>
      <c r="O5" s="33" t="s">
        <v>511</v>
      </c>
      <c r="P5" s="33" t="s">
        <v>511</v>
      </c>
    </row>
    <row r="6" spans="1:16" ht="43.2" x14ac:dyDescent="0.3">
      <c r="A6" s="10" t="s">
        <v>26</v>
      </c>
      <c r="B6" s="5" t="s">
        <v>14</v>
      </c>
      <c r="C6" s="5" t="s">
        <v>8</v>
      </c>
      <c r="D6" s="5" t="s">
        <v>10</v>
      </c>
      <c r="E6" s="5" t="s">
        <v>18</v>
      </c>
      <c r="F6" s="11" t="s">
        <v>235</v>
      </c>
      <c r="G6" s="11" t="s">
        <v>194</v>
      </c>
      <c r="H6" s="12">
        <v>346.7</v>
      </c>
      <c r="I6" s="12">
        <v>330.9</v>
      </c>
      <c r="J6" s="13" t="s">
        <v>18</v>
      </c>
      <c r="K6" s="5" t="s">
        <v>352</v>
      </c>
      <c r="L6" s="5" t="s">
        <v>407</v>
      </c>
      <c r="M6" s="5" t="s">
        <v>408</v>
      </c>
      <c r="N6" s="9">
        <f>37</f>
        <v>37</v>
      </c>
      <c r="O6" s="33"/>
      <c r="P6" s="33" t="s">
        <v>511</v>
      </c>
    </row>
    <row r="7" spans="1:16" ht="28.8" x14ac:dyDescent="0.3">
      <c r="A7" s="10" t="s">
        <v>27</v>
      </c>
      <c r="B7" s="5" t="s">
        <v>14</v>
      </c>
      <c r="C7" s="5" t="s">
        <v>8</v>
      </c>
      <c r="D7" s="5" t="s">
        <v>10</v>
      </c>
      <c r="E7" s="5" t="s">
        <v>11</v>
      </c>
      <c r="F7" s="11" t="s">
        <v>360</v>
      </c>
      <c r="G7" s="11" t="s">
        <v>195</v>
      </c>
      <c r="H7" s="12">
        <v>350.76</v>
      </c>
      <c r="I7" s="12">
        <v>341.43</v>
      </c>
      <c r="J7" s="34" t="s">
        <v>275</v>
      </c>
      <c r="K7" s="5" t="s">
        <v>359</v>
      </c>
      <c r="L7" s="5" t="s">
        <v>396</v>
      </c>
      <c r="M7" s="5" t="s">
        <v>397</v>
      </c>
      <c r="N7" s="9">
        <v>36</v>
      </c>
      <c r="O7" s="33" t="s">
        <v>511</v>
      </c>
      <c r="P7" s="33" t="s">
        <v>511</v>
      </c>
    </row>
    <row r="8" spans="1:16" ht="28.8" x14ac:dyDescent="0.3">
      <c r="A8" s="10" t="s">
        <v>499</v>
      </c>
      <c r="B8" s="5" t="s">
        <v>14</v>
      </c>
      <c r="C8" s="5" t="s">
        <v>8</v>
      </c>
      <c r="D8" s="5" t="s">
        <v>10</v>
      </c>
      <c r="E8" s="5" t="s">
        <v>11</v>
      </c>
      <c r="F8" s="11" t="s">
        <v>360</v>
      </c>
      <c r="G8" s="11" t="s">
        <v>195</v>
      </c>
      <c r="H8" s="12">
        <v>350.76</v>
      </c>
      <c r="I8" s="12">
        <v>341.43</v>
      </c>
      <c r="J8" s="34" t="s">
        <v>275</v>
      </c>
      <c r="K8" s="5" t="s">
        <v>359</v>
      </c>
      <c r="L8" t="s">
        <v>382</v>
      </c>
      <c r="M8" s="5" t="s">
        <v>413</v>
      </c>
      <c r="N8" s="9">
        <v>36</v>
      </c>
      <c r="O8" s="33" t="s">
        <v>511</v>
      </c>
      <c r="P8" s="33" t="s">
        <v>511</v>
      </c>
    </row>
    <row r="9" spans="1:16" ht="43.2" x14ac:dyDescent="0.3">
      <c r="A9" s="10" t="s">
        <v>34</v>
      </c>
      <c r="B9" s="5" t="s">
        <v>14</v>
      </c>
      <c r="C9" s="5" t="s">
        <v>8</v>
      </c>
      <c r="D9" s="5" t="s">
        <v>10</v>
      </c>
      <c r="E9" s="5" t="s">
        <v>18</v>
      </c>
      <c r="F9" s="11" t="s">
        <v>235</v>
      </c>
      <c r="G9" s="11" t="s">
        <v>211</v>
      </c>
      <c r="H9" s="12">
        <v>346.7</v>
      </c>
      <c r="I9" s="12">
        <v>330.9</v>
      </c>
      <c r="J9" s="13" t="s">
        <v>18</v>
      </c>
      <c r="K9" s="5" t="s">
        <v>352</v>
      </c>
      <c r="L9" s="5" t="s">
        <v>407</v>
      </c>
      <c r="M9" s="5" t="s">
        <v>408</v>
      </c>
      <c r="N9" s="9">
        <f>37</f>
        <v>37</v>
      </c>
      <c r="O9" s="33"/>
      <c r="P9" s="33" t="s">
        <v>511</v>
      </c>
    </row>
    <row r="10" spans="1:16" ht="28.8" x14ac:dyDescent="0.3">
      <c r="A10" s="10" t="s">
        <v>38</v>
      </c>
      <c r="B10" s="5" t="s">
        <v>14</v>
      </c>
      <c r="C10" s="5" t="s">
        <v>8</v>
      </c>
      <c r="D10" s="5" t="s">
        <v>10</v>
      </c>
      <c r="E10" s="5" t="s">
        <v>23</v>
      </c>
      <c r="F10" s="11" t="s">
        <v>24</v>
      </c>
      <c r="G10" s="14" t="s">
        <v>39</v>
      </c>
      <c r="H10" s="12">
        <v>325.76</v>
      </c>
      <c r="I10" s="12">
        <v>323.2</v>
      </c>
      <c r="J10" s="13" t="s">
        <v>233</v>
      </c>
      <c r="K10" s="5" t="s">
        <v>316</v>
      </c>
      <c r="L10" s="5" t="s">
        <v>411</v>
      </c>
      <c r="M10" s="5" t="s">
        <v>412</v>
      </c>
      <c r="N10" s="9">
        <v>38</v>
      </c>
      <c r="O10" s="33" t="s">
        <v>511</v>
      </c>
      <c r="P10" s="33" t="s">
        <v>511</v>
      </c>
    </row>
    <row r="11" spans="1:16" ht="21" x14ac:dyDescent="0.3">
      <c r="A11" s="10" t="s">
        <v>40</v>
      </c>
      <c r="B11" s="5" t="s">
        <v>14</v>
      </c>
      <c r="C11" s="5" t="s">
        <v>8</v>
      </c>
      <c r="D11" s="5" t="s">
        <v>10</v>
      </c>
      <c r="E11" s="5" t="s">
        <v>18</v>
      </c>
      <c r="F11" s="11" t="s">
        <v>41</v>
      </c>
      <c r="G11" s="11" t="s">
        <v>197</v>
      </c>
      <c r="H11" s="12">
        <v>346.7</v>
      </c>
      <c r="I11" s="12">
        <v>341.43</v>
      </c>
      <c r="J11" s="13" t="s">
        <v>272</v>
      </c>
      <c r="K11" s="5" t="s">
        <v>318</v>
      </c>
      <c r="L11" s="5" t="s">
        <v>414</v>
      </c>
      <c r="M11" s="5" t="s">
        <v>415</v>
      </c>
      <c r="N11" s="9">
        <f>37</f>
        <v>37</v>
      </c>
      <c r="O11" s="33" t="s">
        <v>511</v>
      </c>
      <c r="P11" s="33"/>
    </row>
    <row r="12" spans="1:16" ht="21" x14ac:dyDescent="0.3">
      <c r="A12" s="10" t="s">
        <v>42</v>
      </c>
      <c r="B12" s="5" t="s">
        <v>14</v>
      </c>
      <c r="C12" s="5" t="s">
        <v>8</v>
      </c>
      <c r="D12" s="5" t="s">
        <v>10</v>
      </c>
      <c r="E12" s="5" t="s">
        <v>18</v>
      </c>
      <c r="F12" s="11" t="s">
        <v>41</v>
      </c>
      <c r="G12" s="11" t="s">
        <v>198</v>
      </c>
      <c r="H12" s="12">
        <v>346.7</v>
      </c>
      <c r="I12" s="12">
        <v>341.43</v>
      </c>
      <c r="J12" s="13" t="s">
        <v>272</v>
      </c>
      <c r="K12" s="5" t="s">
        <v>318</v>
      </c>
      <c r="L12" s="5" t="s">
        <v>414</v>
      </c>
      <c r="M12" s="5" t="s">
        <v>415</v>
      </c>
      <c r="N12" s="9">
        <f>37</f>
        <v>37</v>
      </c>
      <c r="O12" s="33" t="s">
        <v>511</v>
      </c>
      <c r="P12" s="33"/>
    </row>
    <row r="13" spans="1:16" ht="28.8" x14ac:dyDescent="0.3">
      <c r="A13" s="10" t="s">
        <v>44</v>
      </c>
      <c r="B13" s="5" t="s">
        <v>14</v>
      </c>
      <c r="C13" s="5" t="s">
        <v>8</v>
      </c>
      <c r="D13" s="5" t="s">
        <v>9</v>
      </c>
      <c r="E13" s="5" t="s">
        <v>77</v>
      </c>
      <c r="F13" s="11" t="s">
        <v>366</v>
      </c>
      <c r="G13" s="11" t="s">
        <v>45</v>
      </c>
      <c r="H13" s="12">
        <v>307</v>
      </c>
      <c r="I13" s="12">
        <v>303.7</v>
      </c>
      <c r="J13" s="13" t="s">
        <v>77</v>
      </c>
      <c r="K13" s="5" t="s">
        <v>367</v>
      </c>
      <c r="L13" s="5" t="s">
        <v>416</v>
      </c>
      <c r="M13" s="5" t="s">
        <v>417</v>
      </c>
      <c r="N13" s="9">
        <v>41</v>
      </c>
      <c r="O13" s="33" t="s">
        <v>511</v>
      </c>
      <c r="P13" s="33" t="s">
        <v>511</v>
      </c>
    </row>
    <row r="14" spans="1:16" ht="28.8" x14ac:dyDescent="0.3">
      <c r="A14" s="10" t="s">
        <v>48</v>
      </c>
      <c r="B14" s="5" t="s">
        <v>14</v>
      </c>
      <c r="C14" s="5" t="s">
        <v>8</v>
      </c>
      <c r="D14" s="5" t="s">
        <v>10</v>
      </c>
      <c r="E14" s="5" t="s">
        <v>18</v>
      </c>
      <c r="F14" s="11" t="s">
        <v>49</v>
      </c>
      <c r="G14" s="11" t="s">
        <v>199</v>
      </c>
      <c r="H14" s="12">
        <v>341.43</v>
      </c>
      <c r="I14" s="12">
        <v>336.16</v>
      </c>
      <c r="J14" s="13" t="s">
        <v>244</v>
      </c>
      <c r="K14" s="5" t="s">
        <v>357</v>
      </c>
      <c r="L14" s="5" t="s">
        <v>418</v>
      </c>
      <c r="M14" s="5" t="s">
        <v>398</v>
      </c>
      <c r="N14" s="9">
        <f>37</f>
        <v>37</v>
      </c>
      <c r="O14" s="33" t="s">
        <v>511</v>
      </c>
      <c r="P14" s="33" t="s">
        <v>511</v>
      </c>
    </row>
    <row r="15" spans="1:16" ht="28.8" x14ac:dyDescent="0.3">
      <c r="A15" s="10" t="s">
        <v>50</v>
      </c>
      <c r="B15" s="5" t="s">
        <v>14</v>
      </c>
      <c r="C15" s="5" t="s">
        <v>8</v>
      </c>
      <c r="D15" s="5" t="s">
        <v>10</v>
      </c>
      <c r="E15" s="5" t="s">
        <v>18</v>
      </c>
      <c r="F15" s="11" t="s">
        <v>356</v>
      </c>
      <c r="G15" s="11" t="s">
        <v>199</v>
      </c>
      <c r="H15" s="12">
        <v>341.43</v>
      </c>
      <c r="I15" s="12">
        <v>336.16</v>
      </c>
      <c r="J15" s="13" t="s">
        <v>244</v>
      </c>
      <c r="K15" s="5" t="s">
        <v>357</v>
      </c>
      <c r="L15" s="5" t="s">
        <v>418</v>
      </c>
      <c r="M15" s="5" t="s">
        <v>398</v>
      </c>
      <c r="N15" s="9">
        <f>37</f>
        <v>37</v>
      </c>
      <c r="O15" s="33" t="s">
        <v>511</v>
      </c>
      <c r="P15" s="33" t="s">
        <v>511</v>
      </c>
    </row>
    <row r="16" spans="1:16" ht="28.8" x14ac:dyDescent="0.3">
      <c r="A16" s="10" t="s">
        <v>51</v>
      </c>
      <c r="B16" s="5" t="s">
        <v>14</v>
      </c>
      <c r="C16" s="5" t="s">
        <v>8</v>
      </c>
      <c r="D16" s="5" t="s">
        <v>10</v>
      </c>
      <c r="E16" s="5" t="s">
        <v>18</v>
      </c>
      <c r="F16" s="11" t="s">
        <v>49</v>
      </c>
      <c r="G16" s="11" t="s">
        <v>276</v>
      </c>
      <c r="H16" s="12">
        <v>341.43</v>
      </c>
      <c r="I16" s="12">
        <v>336.16</v>
      </c>
      <c r="J16" s="13" t="s">
        <v>244</v>
      </c>
      <c r="K16" s="5" t="s">
        <v>357</v>
      </c>
      <c r="L16" s="5" t="s">
        <v>418</v>
      </c>
      <c r="M16" s="5" t="s">
        <v>398</v>
      </c>
      <c r="N16" s="9">
        <f>37</f>
        <v>37</v>
      </c>
      <c r="O16" s="33" t="s">
        <v>511</v>
      </c>
      <c r="P16" s="33" t="s">
        <v>511</v>
      </c>
    </row>
    <row r="17" spans="1:16" ht="28.8" x14ac:dyDescent="0.3">
      <c r="A17" s="10" t="s">
        <v>52</v>
      </c>
      <c r="B17" s="5" t="s">
        <v>14</v>
      </c>
      <c r="C17" s="5" t="s">
        <v>53</v>
      </c>
      <c r="D17" s="5" t="s">
        <v>54</v>
      </c>
      <c r="E17" s="5" t="s">
        <v>32</v>
      </c>
      <c r="F17" s="11" t="s">
        <v>55</v>
      </c>
      <c r="G17" s="11" t="s">
        <v>311</v>
      </c>
      <c r="H17" s="12">
        <v>379.2</v>
      </c>
      <c r="I17" s="12">
        <v>375.7</v>
      </c>
      <c r="J17" s="13" t="s">
        <v>43</v>
      </c>
      <c r="K17" s="5" t="s">
        <v>322</v>
      </c>
      <c r="L17" s="5" t="s">
        <v>419</v>
      </c>
      <c r="M17" s="5" t="s">
        <v>420</v>
      </c>
      <c r="N17" s="9">
        <v>34</v>
      </c>
      <c r="O17" s="33" t="s">
        <v>511</v>
      </c>
      <c r="P17" s="33" t="s">
        <v>511</v>
      </c>
    </row>
    <row r="18" spans="1:16" ht="28.8" x14ac:dyDescent="0.3">
      <c r="A18" s="18" t="s">
        <v>56</v>
      </c>
      <c r="B18" t="s">
        <v>14</v>
      </c>
      <c r="C18" t="s">
        <v>53</v>
      </c>
      <c r="D18" t="s">
        <v>57</v>
      </c>
      <c r="E18" t="s">
        <v>58</v>
      </c>
      <c r="F18" s="4" t="s">
        <v>59</v>
      </c>
      <c r="G18" s="4" t="s">
        <v>312</v>
      </c>
      <c r="H18" s="16">
        <v>384.36</v>
      </c>
      <c r="I18" s="16">
        <v>379.2</v>
      </c>
      <c r="J18" s="17" t="s">
        <v>242</v>
      </c>
      <c r="K18" s="5" t="s">
        <v>328</v>
      </c>
      <c r="L18" s="5" t="s">
        <v>421</v>
      </c>
      <c r="M18" s="5" t="s">
        <v>422</v>
      </c>
      <c r="N18" s="9">
        <v>33</v>
      </c>
      <c r="O18" s="33"/>
      <c r="P18" s="33" t="s">
        <v>511</v>
      </c>
    </row>
    <row r="19" spans="1:16" ht="28.8" x14ac:dyDescent="0.3">
      <c r="A19" s="10" t="s">
        <v>60</v>
      </c>
      <c r="B19" s="5" t="s">
        <v>14</v>
      </c>
      <c r="C19" s="5" t="s">
        <v>53</v>
      </c>
      <c r="D19" s="5" t="s">
        <v>57</v>
      </c>
      <c r="E19" s="5" t="s">
        <v>46</v>
      </c>
      <c r="F19" s="11" t="s">
        <v>61</v>
      </c>
      <c r="G19" s="11" t="s">
        <v>62</v>
      </c>
      <c r="H19" s="12">
        <v>393.3</v>
      </c>
      <c r="I19" s="12">
        <v>382.7</v>
      </c>
      <c r="J19" s="13" t="s">
        <v>47</v>
      </c>
      <c r="K19" s="5" t="s">
        <v>327</v>
      </c>
      <c r="L19" s="5" t="s">
        <v>423</v>
      </c>
      <c r="M19" s="5" t="s">
        <v>424</v>
      </c>
      <c r="N19" s="9">
        <v>32</v>
      </c>
      <c r="O19" s="33" t="s">
        <v>511</v>
      </c>
      <c r="P19" s="33" t="s">
        <v>511</v>
      </c>
    </row>
    <row r="20" spans="1:16" s="5" customFormat="1" ht="28.8" x14ac:dyDescent="0.3">
      <c r="A20" s="10" t="s">
        <v>386</v>
      </c>
      <c r="B20" s="5" t="s">
        <v>14</v>
      </c>
      <c r="C20" s="5" t="s">
        <v>8</v>
      </c>
      <c r="D20" s="5" t="s">
        <v>9</v>
      </c>
      <c r="E20" s="5" t="s">
        <v>37</v>
      </c>
      <c r="F20" s="11" t="s">
        <v>380</v>
      </c>
      <c r="G20" s="11" t="s">
        <v>196</v>
      </c>
      <c r="H20" s="12">
        <v>314.75</v>
      </c>
      <c r="I20" s="12">
        <v>310</v>
      </c>
      <c r="J20" s="13" t="s">
        <v>236</v>
      </c>
      <c r="K20" s="5" t="s">
        <v>381</v>
      </c>
      <c r="L20" s="5" t="s">
        <v>425</v>
      </c>
      <c r="M20" s="5" t="s">
        <v>426</v>
      </c>
      <c r="N20" s="9">
        <f>40</f>
        <v>40</v>
      </c>
      <c r="O20" s="33" t="s">
        <v>511</v>
      </c>
      <c r="P20" s="33" t="s">
        <v>511</v>
      </c>
    </row>
    <row r="21" spans="1:16" ht="28.8" x14ac:dyDescent="0.3">
      <c r="A21" s="18" t="s">
        <v>63</v>
      </c>
      <c r="B21" s="5" t="s">
        <v>14</v>
      </c>
      <c r="C21" s="5" t="s">
        <v>8</v>
      </c>
      <c r="D21" s="5" t="s">
        <v>9</v>
      </c>
      <c r="E21" s="5" t="s">
        <v>29</v>
      </c>
      <c r="F21" s="11" t="s">
        <v>64</v>
      </c>
      <c r="G21" s="11" t="s">
        <v>277</v>
      </c>
      <c r="H21" s="12">
        <v>317.86</v>
      </c>
      <c r="I21" s="12">
        <v>312.45999999999998</v>
      </c>
      <c r="J21" s="13" t="s">
        <v>273</v>
      </c>
      <c r="K21" s="5" t="s">
        <v>341</v>
      </c>
      <c r="L21" s="5" t="s">
        <v>427</v>
      </c>
      <c r="M21" s="5" t="s">
        <v>428</v>
      </c>
      <c r="N21" s="9">
        <v>39</v>
      </c>
      <c r="O21" s="33"/>
      <c r="P21" s="33" t="s">
        <v>511</v>
      </c>
    </row>
    <row r="22" spans="1:16" ht="21" x14ac:dyDescent="0.3">
      <c r="A22" s="10" t="s">
        <v>65</v>
      </c>
      <c r="B22" s="5" t="s">
        <v>14</v>
      </c>
      <c r="C22" s="5" t="s">
        <v>8</v>
      </c>
      <c r="D22" s="5" t="s">
        <v>9</v>
      </c>
      <c r="E22" s="5" t="s">
        <v>30</v>
      </c>
      <c r="F22" s="11" t="s">
        <v>31</v>
      </c>
      <c r="G22" s="11" t="s">
        <v>200</v>
      </c>
      <c r="H22" s="12">
        <v>303.5</v>
      </c>
      <c r="I22" s="12">
        <v>298.89999999999998</v>
      </c>
      <c r="J22" s="13" t="s">
        <v>303</v>
      </c>
      <c r="K22" s="5" t="s">
        <v>344</v>
      </c>
      <c r="L22" s="5" t="s">
        <v>429</v>
      </c>
      <c r="M22" s="5" t="s">
        <v>430</v>
      </c>
      <c r="N22" s="9">
        <v>42</v>
      </c>
      <c r="O22" s="33" t="s">
        <v>511</v>
      </c>
      <c r="P22" s="33" t="s">
        <v>511</v>
      </c>
    </row>
    <row r="23" spans="1:16" ht="21" x14ac:dyDescent="0.3">
      <c r="A23" s="15" t="s">
        <v>66</v>
      </c>
      <c r="B23" t="s">
        <v>14</v>
      </c>
      <c r="C23" t="s">
        <v>8</v>
      </c>
      <c r="D23" t="s">
        <v>9</v>
      </c>
      <c r="E23" t="s">
        <v>29</v>
      </c>
      <c r="F23" s="4" t="s">
        <v>260</v>
      </c>
      <c r="G23" s="4" t="s">
        <v>278</v>
      </c>
      <c r="H23" s="16">
        <v>319.89999999999998</v>
      </c>
      <c r="I23" s="16">
        <v>310.7</v>
      </c>
      <c r="J23" s="17" t="s">
        <v>261</v>
      </c>
      <c r="K23" s="5" t="s">
        <v>342</v>
      </c>
      <c r="L23" s="5" t="s">
        <v>431</v>
      </c>
      <c r="M23" s="5" t="s">
        <v>432</v>
      </c>
      <c r="N23" s="9">
        <v>39</v>
      </c>
      <c r="O23" s="33" t="s">
        <v>511</v>
      </c>
      <c r="P23" s="33" t="s">
        <v>511</v>
      </c>
    </row>
    <row r="24" spans="1:16" ht="28.8" x14ac:dyDescent="0.3">
      <c r="A24" s="19" t="s">
        <v>67</v>
      </c>
      <c r="B24" s="5" t="s">
        <v>14</v>
      </c>
      <c r="C24" s="5" t="s">
        <v>8</v>
      </c>
      <c r="D24" s="5" t="s">
        <v>10</v>
      </c>
      <c r="E24" s="5" t="s">
        <v>18</v>
      </c>
      <c r="F24" s="11" t="s">
        <v>68</v>
      </c>
      <c r="G24" s="11" t="s">
        <v>69</v>
      </c>
      <c r="H24" s="12">
        <v>335.5</v>
      </c>
      <c r="I24" s="12">
        <v>333.5</v>
      </c>
      <c r="J24" s="13" t="s">
        <v>274</v>
      </c>
      <c r="K24" s="5" t="s">
        <v>361</v>
      </c>
      <c r="L24" s="5" t="s">
        <v>433</v>
      </c>
      <c r="M24" s="5" t="s">
        <v>434</v>
      </c>
      <c r="N24" s="9">
        <f>37</f>
        <v>37</v>
      </c>
      <c r="O24" s="33"/>
      <c r="P24" s="33" t="s">
        <v>511</v>
      </c>
    </row>
    <row r="25" spans="1:16" ht="28.8" x14ac:dyDescent="0.3">
      <c r="A25" s="10" t="s">
        <v>70</v>
      </c>
      <c r="B25" s="5" t="s">
        <v>14</v>
      </c>
      <c r="C25" s="5" t="s">
        <v>8</v>
      </c>
      <c r="D25" s="5" t="s">
        <v>10</v>
      </c>
      <c r="E25" s="5" t="s">
        <v>23</v>
      </c>
      <c r="F25" s="11" t="s">
        <v>378</v>
      </c>
      <c r="G25" s="11" t="s">
        <v>201</v>
      </c>
      <c r="H25" s="12">
        <v>330.3</v>
      </c>
      <c r="I25" s="12">
        <v>328.33</v>
      </c>
      <c r="J25" s="13" t="s">
        <v>248</v>
      </c>
      <c r="K25" s="5" t="s">
        <v>379</v>
      </c>
      <c r="L25" s="5" t="s">
        <v>435</v>
      </c>
      <c r="M25" s="5" t="s">
        <v>436</v>
      </c>
      <c r="N25" s="9">
        <f>38</f>
        <v>38</v>
      </c>
      <c r="O25" s="33" t="s">
        <v>511</v>
      </c>
      <c r="P25" s="33"/>
    </row>
    <row r="26" spans="1:16" ht="28.8" x14ac:dyDescent="0.3">
      <c r="A26" s="10" t="s">
        <v>71</v>
      </c>
      <c r="B26" s="5" t="s">
        <v>14</v>
      </c>
      <c r="C26" s="5" t="s">
        <v>53</v>
      </c>
      <c r="D26" s="5" t="s">
        <v>54</v>
      </c>
      <c r="E26" s="5" t="s">
        <v>12</v>
      </c>
      <c r="F26" s="11" t="s">
        <v>243</v>
      </c>
      <c r="G26" s="11" t="s">
        <v>202</v>
      </c>
      <c r="H26" s="12">
        <v>363.33</v>
      </c>
      <c r="I26" s="12">
        <v>358.9</v>
      </c>
      <c r="J26" s="13" t="s">
        <v>28</v>
      </c>
      <c r="K26" s="5" t="s">
        <v>335</v>
      </c>
      <c r="L26" s="5" t="s">
        <v>437</v>
      </c>
      <c r="M26" s="5" t="s">
        <v>438</v>
      </c>
      <c r="N26" s="9">
        <v>35</v>
      </c>
      <c r="O26" s="33" t="s">
        <v>511</v>
      </c>
      <c r="P26" s="33" t="s">
        <v>511</v>
      </c>
    </row>
    <row r="27" spans="1:16" ht="28.8" x14ac:dyDescent="0.3">
      <c r="A27" s="10" t="s">
        <v>72</v>
      </c>
      <c r="B27" s="5" t="s">
        <v>14</v>
      </c>
      <c r="C27" s="5" t="s">
        <v>8</v>
      </c>
      <c r="D27" s="5" t="s">
        <v>10</v>
      </c>
      <c r="E27" s="5" t="s">
        <v>18</v>
      </c>
      <c r="F27" s="11" t="s">
        <v>49</v>
      </c>
      <c r="G27" s="11" t="s">
        <v>279</v>
      </c>
      <c r="H27" s="12">
        <v>341.43</v>
      </c>
      <c r="I27" s="12">
        <v>336.16</v>
      </c>
      <c r="J27" s="13" t="s">
        <v>244</v>
      </c>
      <c r="K27" s="5" t="s">
        <v>357</v>
      </c>
      <c r="L27" s="5" t="s">
        <v>418</v>
      </c>
      <c r="M27" s="5" t="s">
        <v>398</v>
      </c>
      <c r="N27" s="9">
        <f>37</f>
        <v>37</v>
      </c>
      <c r="O27" s="33" t="s">
        <v>511</v>
      </c>
      <c r="P27" s="33" t="s">
        <v>511</v>
      </c>
    </row>
    <row r="28" spans="1:16" ht="28.8" x14ac:dyDescent="0.3">
      <c r="A28" s="10" t="s">
        <v>73</v>
      </c>
      <c r="B28" s="5" t="s">
        <v>14</v>
      </c>
      <c r="C28" s="5" t="s">
        <v>8</v>
      </c>
      <c r="D28" s="5" t="s">
        <v>10</v>
      </c>
      <c r="E28" s="5" t="s">
        <v>23</v>
      </c>
      <c r="F28" s="11" t="s">
        <v>24</v>
      </c>
      <c r="G28" s="11" t="s">
        <v>203</v>
      </c>
      <c r="H28" s="12">
        <v>325.76</v>
      </c>
      <c r="I28" s="12">
        <v>323.2</v>
      </c>
      <c r="J28" s="13" t="s">
        <v>233</v>
      </c>
      <c r="K28" s="5" t="s">
        <v>316</v>
      </c>
      <c r="L28" s="5" t="s">
        <v>411</v>
      </c>
      <c r="M28" s="5" t="s">
        <v>412</v>
      </c>
      <c r="N28" s="9">
        <f>38</f>
        <v>38</v>
      </c>
      <c r="O28" s="33" t="s">
        <v>511</v>
      </c>
      <c r="P28" s="33" t="s">
        <v>511</v>
      </c>
    </row>
    <row r="29" spans="1:16" ht="28.8" x14ac:dyDescent="0.3">
      <c r="A29" s="21" t="s">
        <v>74</v>
      </c>
      <c r="B29" s="5" t="s">
        <v>14</v>
      </c>
      <c r="C29" s="5" t="s">
        <v>8</v>
      </c>
      <c r="D29" s="5" t="s">
        <v>10</v>
      </c>
      <c r="E29" s="5" t="s">
        <v>23</v>
      </c>
      <c r="F29" s="11" t="s">
        <v>24</v>
      </c>
      <c r="G29" s="14" t="s">
        <v>75</v>
      </c>
      <c r="H29" s="12">
        <v>325.76</v>
      </c>
      <c r="I29" s="12">
        <v>323.2</v>
      </c>
      <c r="J29" s="13" t="s">
        <v>233</v>
      </c>
      <c r="K29" s="5" t="s">
        <v>316</v>
      </c>
      <c r="L29" s="5" t="s">
        <v>411</v>
      </c>
      <c r="M29" s="5" t="s">
        <v>412</v>
      </c>
      <c r="N29" s="9">
        <f>38</f>
        <v>38</v>
      </c>
      <c r="O29" s="33" t="s">
        <v>511</v>
      </c>
      <c r="P29" s="33"/>
    </row>
    <row r="30" spans="1:16" ht="28.8" x14ac:dyDescent="0.3">
      <c r="A30" s="22" t="s">
        <v>76</v>
      </c>
      <c r="B30" s="5" t="s">
        <v>14</v>
      </c>
      <c r="C30" s="5" t="s">
        <v>53</v>
      </c>
      <c r="D30" s="5" t="s">
        <v>57</v>
      </c>
      <c r="E30" s="5" t="s">
        <v>58</v>
      </c>
      <c r="F30" s="11" t="s">
        <v>129</v>
      </c>
      <c r="G30" s="11" t="s">
        <v>204</v>
      </c>
      <c r="H30" s="12">
        <v>387.7</v>
      </c>
      <c r="I30" s="12">
        <v>382.7</v>
      </c>
      <c r="J30" s="13" t="s">
        <v>271</v>
      </c>
      <c r="K30" s="5" t="s">
        <v>321</v>
      </c>
      <c r="L30" s="5" t="s">
        <v>439</v>
      </c>
      <c r="M30" s="5" t="s">
        <v>440</v>
      </c>
      <c r="N30" s="9">
        <v>33</v>
      </c>
      <c r="O30" s="33"/>
      <c r="P30" s="33" t="s">
        <v>511</v>
      </c>
    </row>
    <row r="31" spans="1:16" ht="21" x14ac:dyDescent="0.3">
      <c r="A31" s="21" t="s">
        <v>78</v>
      </c>
      <c r="B31" s="5" t="s">
        <v>14</v>
      </c>
      <c r="C31" s="5" t="s">
        <v>8</v>
      </c>
      <c r="D31" s="5" t="s">
        <v>10</v>
      </c>
      <c r="E31" s="5" t="s">
        <v>11</v>
      </c>
      <c r="F31" s="11" t="s">
        <v>79</v>
      </c>
      <c r="G31" s="11" t="s">
        <v>205</v>
      </c>
      <c r="H31" s="12">
        <v>358.9</v>
      </c>
      <c r="I31" s="12">
        <v>346.7</v>
      </c>
      <c r="J31" s="13" t="s">
        <v>11</v>
      </c>
      <c r="K31" s="5" t="s">
        <v>319</v>
      </c>
      <c r="L31" s="5" t="s">
        <v>441</v>
      </c>
      <c r="M31" s="5" t="s">
        <v>442</v>
      </c>
      <c r="N31" s="9">
        <v>36</v>
      </c>
      <c r="O31" s="33" t="s">
        <v>511</v>
      </c>
      <c r="P31" s="33"/>
    </row>
    <row r="32" spans="1:16" ht="28.8" x14ac:dyDescent="0.3">
      <c r="A32" s="10" t="s">
        <v>80</v>
      </c>
      <c r="B32" s="5" t="s">
        <v>14</v>
      </c>
      <c r="C32" s="5" t="s">
        <v>8</v>
      </c>
      <c r="D32" s="5" t="s">
        <v>9</v>
      </c>
      <c r="E32" s="5" t="s">
        <v>37</v>
      </c>
      <c r="F32" s="11" t="s">
        <v>81</v>
      </c>
      <c r="G32" s="11" t="s">
        <v>82</v>
      </c>
      <c r="H32" s="12">
        <v>312.45999999999998</v>
      </c>
      <c r="I32" s="12">
        <v>307</v>
      </c>
      <c r="J32" s="13" t="s">
        <v>268</v>
      </c>
      <c r="K32" s="5" t="s">
        <v>343</v>
      </c>
      <c r="L32" s="5" t="s">
        <v>443</v>
      </c>
      <c r="M32" s="5" t="s">
        <v>444</v>
      </c>
      <c r="N32" s="9">
        <f>40</f>
        <v>40</v>
      </c>
      <c r="O32" s="33" t="s">
        <v>511</v>
      </c>
      <c r="P32" s="33"/>
    </row>
    <row r="33" spans="1:16" ht="28.8" x14ac:dyDescent="0.3">
      <c r="A33" s="10" t="s">
        <v>83</v>
      </c>
      <c r="B33" s="5" t="s">
        <v>14</v>
      </c>
      <c r="C33" s="5" t="s">
        <v>8</v>
      </c>
      <c r="D33" s="5" t="s">
        <v>9</v>
      </c>
      <c r="E33" s="5" t="s">
        <v>30</v>
      </c>
      <c r="F33" s="11" t="s">
        <v>372</v>
      </c>
      <c r="G33" s="11" t="s">
        <v>206</v>
      </c>
      <c r="H33" s="12">
        <v>303.5</v>
      </c>
      <c r="I33" s="12">
        <v>302.5</v>
      </c>
      <c r="J33" s="13" t="s">
        <v>259</v>
      </c>
      <c r="K33" s="23" t="s">
        <v>373</v>
      </c>
      <c r="L33" s="5" t="s">
        <v>445</v>
      </c>
      <c r="M33" s="5" t="s">
        <v>446</v>
      </c>
      <c r="N33" s="9">
        <v>42</v>
      </c>
      <c r="O33" s="33" t="s">
        <v>511</v>
      </c>
      <c r="P33" s="33"/>
    </row>
    <row r="34" spans="1:16" ht="28.8" x14ac:dyDescent="0.3">
      <c r="A34" s="10" t="s">
        <v>84</v>
      </c>
      <c r="B34" s="5" t="s">
        <v>14</v>
      </c>
      <c r="C34" s="5" t="s">
        <v>8</v>
      </c>
      <c r="D34" s="5" t="s">
        <v>9</v>
      </c>
      <c r="E34" s="5" t="s">
        <v>37</v>
      </c>
      <c r="F34" s="11" t="s">
        <v>85</v>
      </c>
      <c r="G34" s="11" t="s">
        <v>86</v>
      </c>
      <c r="H34" s="12">
        <v>312.45999999999998</v>
      </c>
      <c r="I34" s="12">
        <v>307</v>
      </c>
      <c r="J34" s="13" t="s">
        <v>268</v>
      </c>
      <c r="K34" s="5" t="s">
        <v>343</v>
      </c>
      <c r="L34" s="5" t="s">
        <v>443</v>
      </c>
      <c r="M34" s="5" t="s">
        <v>444</v>
      </c>
      <c r="N34" s="9">
        <f>40</f>
        <v>40</v>
      </c>
      <c r="O34" s="33" t="s">
        <v>511</v>
      </c>
      <c r="P34" s="33" t="s">
        <v>511</v>
      </c>
    </row>
    <row r="35" spans="1:16" ht="43.2" x14ac:dyDescent="0.3">
      <c r="A35" s="10" t="s">
        <v>87</v>
      </c>
      <c r="B35" s="5" t="s">
        <v>14</v>
      </c>
      <c r="C35" s="5" t="s">
        <v>53</v>
      </c>
      <c r="D35" s="5" t="s">
        <v>54</v>
      </c>
      <c r="E35" s="5" t="s">
        <v>12</v>
      </c>
      <c r="F35" s="11" t="s">
        <v>333</v>
      </c>
      <c r="G35" s="11" t="s">
        <v>280</v>
      </c>
      <c r="H35" s="12">
        <v>363.33</v>
      </c>
      <c r="I35" s="12">
        <v>336.16</v>
      </c>
      <c r="J35" s="34" t="s">
        <v>304</v>
      </c>
      <c r="K35" s="5" t="s">
        <v>334</v>
      </c>
      <c r="L35" s="5" t="s">
        <v>447</v>
      </c>
      <c r="M35" s="5" t="s">
        <v>448</v>
      </c>
      <c r="N35" s="9">
        <v>35</v>
      </c>
      <c r="O35" s="33" t="s">
        <v>511</v>
      </c>
      <c r="P35" s="33" t="s">
        <v>511</v>
      </c>
    </row>
    <row r="36" spans="1:16" ht="43.2" x14ac:dyDescent="0.3">
      <c r="A36" s="10" t="s">
        <v>500</v>
      </c>
      <c r="B36" s="5" t="s">
        <v>14</v>
      </c>
      <c r="C36" s="5" t="s">
        <v>53</v>
      </c>
      <c r="D36" s="5" t="s">
        <v>54</v>
      </c>
      <c r="E36" s="5" t="s">
        <v>12</v>
      </c>
      <c r="F36" s="11" t="s">
        <v>333</v>
      </c>
      <c r="G36" s="11" t="s">
        <v>280</v>
      </c>
      <c r="H36" s="12">
        <v>363.33</v>
      </c>
      <c r="I36" s="12">
        <v>336.16</v>
      </c>
      <c r="J36" s="34" t="s">
        <v>304</v>
      </c>
      <c r="K36" s="5" t="s">
        <v>334</v>
      </c>
      <c r="L36" t="s">
        <v>449</v>
      </c>
      <c r="M36" s="5" t="s">
        <v>450</v>
      </c>
      <c r="N36" s="9">
        <v>35</v>
      </c>
      <c r="O36" s="33" t="s">
        <v>511</v>
      </c>
      <c r="P36" s="33" t="s">
        <v>511</v>
      </c>
    </row>
    <row r="37" spans="1:16" ht="28.8" x14ac:dyDescent="0.3">
      <c r="A37" s="10" t="s">
        <v>88</v>
      </c>
      <c r="B37" s="5" t="s">
        <v>14</v>
      </c>
      <c r="C37" s="5" t="s">
        <v>8</v>
      </c>
      <c r="D37" s="5" t="s">
        <v>10</v>
      </c>
      <c r="E37" s="5" t="s">
        <v>18</v>
      </c>
      <c r="F37" s="11" t="s">
        <v>265</v>
      </c>
      <c r="G37" s="11" t="s">
        <v>207</v>
      </c>
      <c r="H37" s="12">
        <v>341.43</v>
      </c>
      <c r="I37" s="12">
        <v>336.16</v>
      </c>
      <c r="J37" s="34" t="s">
        <v>266</v>
      </c>
      <c r="K37" s="5" t="s">
        <v>361</v>
      </c>
      <c r="L37" s="5" t="s">
        <v>433</v>
      </c>
      <c r="M37" s="5" t="s">
        <v>434</v>
      </c>
      <c r="N37" s="9">
        <f>37</f>
        <v>37</v>
      </c>
      <c r="O37" s="33" t="s">
        <v>511</v>
      </c>
      <c r="P37" s="33"/>
    </row>
    <row r="38" spans="1:16" ht="28.8" x14ac:dyDescent="0.3">
      <c r="A38" s="10" t="s">
        <v>89</v>
      </c>
      <c r="B38" s="5" t="s">
        <v>14</v>
      </c>
      <c r="C38" s="5" t="s">
        <v>8</v>
      </c>
      <c r="D38" s="5" t="s">
        <v>10</v>
      </c>
      <c r="E38" s="5" t="s">
        <v>18</v>
      </c>
      <c r="F38" s="11" t="s">
        <v>49</v>
      </c>
      <c r="G38" s="11" t="s">
        <v>279</v>
      </c>
      <c r="H38" s="12">
        <v>341.43</v>
      </c>
      <c r="I38" s="12">
        <v>336.16</v>
      </c>
      <c r="J38" s="13" t="s">
        <v>244</v>
      </c>
      <c r="K38" s="5" t="s">
        <v>357</v>
      </c>
      <c r="L38" s="5" t="s">
        <v>418</v>
      </c>
      <c r="M38" s="5" t="s">
        <v>398</v>
      </c>
      <c r="N38" s="9">
        <f>37</f>
        <v>37</v>
      </c>
      <c r="O38" s="33" t="s">
        <v>511</v>
      </c>
      <c r="P38" s="33" t="s">
        <v>511</v>
      </c>
    </row>
    <row r="39" spans="1:16" ht="28.8" x14ac:dyDescent="0.3">
      <c r="A39" s="10" t="s">
        <v>90</v>
      </c>
      <c r="B39" s="5" t="s">
        <v>14</v>
      </c>
      <c r="C39" s="5" t="s">
        <v>8</v>
      </c>
      <c r="D39" s="5" t="s">
        <v>10</v>
      </c>
      <c r="E39" s="5" t="s">
        <v>11</v>
      </c>
      <c r="F39" s="11" t="s">
        <v>250</v>
      </c>
      <c r="G39" s="11" t="s">
        <v>208</v>
      </c>
      <c r="H39" s="12">
        <v>350.76</v>
      </c>
      <c r="I39" s="12">
        <v>346.7</v>
      </c>
      <c r="J39" s="13" t="s">
        <v>249</v>
      </c>
      <c r="K39" s="5" t="s">
        <v>358</v>
      </c>
      <c r="L39" s="5" t="s">
        <v>396</v>
      </c>
      <c r="M39" s="5" t="s">
        <v>397</v>
      </c>
      <c r="N39" s="9">
        <v>36</v>
      </c>
      <c r="O39" s="33" t="s">
        <v>511</v>
      </c>
      <c r="P39" s="33" t="s">
        <v>511</v>
      </c>
    </row>
    <row r="40" spans="1:16" ht="21" x14ac:dyDescent="0.3">
      <c r="A40" s="15" t="s">
        <v>91</v>
      </c>
      <c r="B40" t="s">
        <v>14</v>
      </c>
      <c r="C40" t="s">
        <v>8</v>
      </c>
      <c r="D40" t="s">
        <v>10</v>
      </c>
      <c r="E40" t="s">
        <v>23</v>
      </c>
      <c r="F40" s="4" t="s">
        <v>247</v>
      </c>
      <c r="G40" s="24" t="s">
        <v>92</v>
      </c>
      <c r="H40" s="16">
        <v>330.9</v>
      </c>
      <c r="I40" s="16">
        <v>328.33</v>
      </c>
      <c r="J40" s="17" t="s">
        <v>305</v>
      </c>
      <c r="K40" s="5" t="s">
        <v>317</v>
      </c>
      <c r="L40" s="5" t="s">
        <v>451</v>
      </c>
      <c r="M40" s="5" t="s">
        <v>452</v>
      </c>
      <c r="N40" s="9">
        <f>38</f>
        <v>38</v>
      </c>
      <c r="O40" s="33" t="s">
        <v>511</v>
      </c>
      <c r="P40" s="33"/>
    </row>
    <row r="41" spans="1:16" ht="21" x14ac:dyDescent="0.3">
      <c r="A41" s="15" t="s">
        <v>501</v>
      </c>
      <c r="B41" t="s">
        <v>14</v>
      </c>
      <c r="C41" t="s">
        <v>8</v>
      </c>
      <c r="D41" t="s">
        <v>10</v>
      </c>
      <c r="E41" t="s">
        <v>23</v>
      </c>
      <c r="F41" s="4" t="s">
        <v>247</v>
      </c>
      <c r="G41" s="24" t="s">
        <v>92</v>
      </c>
      <c r="H41" s="16">
        <v>330.9</v>
      </c>
      <c r="I41" s="16">
        <v>328.33</v>
      </c>
      <c r="J41" s="17" t="s">
        <v>305</v>
      </c>
      <c r="K41" s="5" t="s">
        <v>317</v>
      </c>
      <c r="L41" t="s">
        <v>453</v>
      </c>
      <c r="M41" s="5" t="s">
        <v>454</v>
      </c>
      <c r="N41" s="9">
        <f>38</f>
        <v>38</v>
      </c>
      <c r="O41" s="33" t="s">
        <v>511</v>
      </c>
      <c r="P41" s="33"/>
    </row>
    <row r="42" spans="1:16" ht="21" x14ac:dyDescent="0.3">
      <c r="A42" s="15" t="s">
        <v>93</v>
      </c>
      <c r="B42" t="s">
        <v>14</v>
      </c>
      <c r="C42" t="s">
        <v>8</v>
      </c>
      <c r="D42" t="s">
        <v>10</v>
      </c>
      <c r="E42" t="s">
        <v>23</v>
      </c>
      <c r="F42" s="4" t="s">
        <v>368</v>
      </c>
      <c r="G42" s="4" t="s">
        <v>281</v>
      </c>
      <c r="H42" s="12">
        <v>325.76</v>
      </c>
      <c r="I42" s="12">
        <v>323.2</v>
      </c>
      <c r="J42" s="13" t="s">
        <v>314</v>
      </c>
      <c r="K42" s="5" t="s">
        <v>316</v>
      </c>
      <c r="L42" s="5" t="s">
        <v>455</v>
      </c>
      <c r="M42" s="5" t="s">
        <v>412</v>
      </c>
      <c r="N42" s="9">
        <f>38</f>
        <v>38</v>
      </c>
      <c r="O42" s="33" t="s">
        <v>511</v>
      </c>
      <c r="P42" s="33" t="s">
        <v>511</v>
      </c>
    </row>
    <row r="43" spans="1:16" ht="28.8" x14ac:dyDescent="0.3">
      <c r="A43" s="18" t="s">
        <v>95</v>
      </c>
      <c r="B43" s="5" t="s">
        <v>14</v>
      </c>
      <c r="C43" s="5" t="s">
        <v>8</v>
      </c>
      <c r="D43" s="5" t="s">
        <v>10</v>
      </c>
      <c r="E43" s="5" t="s">
        <v>11</v>
      </c>
      <c r="F43" s="11" t="s">
        <v>375</v>
      </c>
      <c r="G43" s="4" t="s">
        <v>282</v>
      </c>
      <c r="H43" s="12">
        <v>358.9</v>
      </c>
      <c r="I43" s="12">
        <v>346.7</v>
      </c>
      <c r="J43" s="25" t="s">
        <v>11</v>
      </c>
      <c r="K43" s="5" t="s">
        <v>374</v>
      </c>
      <c r="L43" s="5" t="s">
        <v>456</v>
      </c>
      <c r="M43" s="5" t="s">
        <v>457</v>
      </c>
      <c r="N43" s="9">
        <v>36</v>
      </c>
      <c r="O43" s="33"/>
      <c r="P43" s="33" t="s">
        <v>511</v>
      </c>
    </row>
    <row r="44" spans="1:16" ht="21" x14ac:dyDescent="0.3">
      <c r="A44" s="19" t="s">
        <v>97</v>
      </c>
      <c r="B44" s="5" t="s">
        <v>14</v>
      </c>
      <c r="C44" s="5" t="s">
        <v>53</v>
      </c>
      <c r="D44" s="5" t="s">
        <v>54</v>
      </c>
      <c r="E44" s="5" t="s">
        <v>32</v>
      </c>
      <c r="F44" s="11" t="s">
        <v>96</v>
      </c>
      <c r="G44" s="14" t="s">
        <v>98</v>
      </c>
      <c r="H44" s="12">
        <v>382.7</v>
      </c>
      <c r="I44" s="12">
        <v>379.2</v>
      </c>
      <c r="J44" s="13" t="s">
        <v>36</v>
      </c>
      <c r="K44" s="5" t="s">
        <v>320</v>
      </c>
      <c r="L44" s="20" t="s">
        <v>458</v>
      </c>
      <c r="M44" s="20" t="s">
        <v>459</v>
      </c>
      <c r="N44" s="31">
        <v>34</v>
      </c>
      <c r="O44" s="33"/>
      <c r="P44" s="33" t="s">
        <v>511</v>
      </c>
    </row>
    <row r="45" spans="1:16" ht="28.8" x14ac:dyDescent="0.3">
      <c r="A45" s="10" t="s">
        <v>99</v>
      </c>
      <c r="B45" s="5" t="s">
        <v>14</v>
      </c>
      <c r="C45" s="5" t="s">
        <v>8</v>
      </c>
      <c r="D45" s="5" t="s">
        <v>10</v>
      </c>
      <c r="E45" s="5" t="s">
        <v>18</v>
      </c>
      <c r="F45" s="11" t="s">
        <v>68</v>
      </c>
      <c r="G45" s="11" t="s">
        <v>283</v>
      </c>
      <c r="H45" s="12">
        <v>335.5</v>
      </c>
      <c r="I45" s="12">
        <v>333.5</v>
      </c>
      <c r="J45" s="13" t="s">
        <v>18</v>
      </c>
      <c r="K45" s="5" t="s">
        <v>361</v>
      </c>
      <c r="L45" s="5" t="s">
        <v>433</v>
      </c>
      <c r="M45" s="5" t="s">
        <v>434</v>
      </c>
      <c r="N45" s="9">
        <f>37</f>
        <v>37</v>
      </c>
      <c r="O45" s="33" t="s">
        <v>511</v>
      </c>
      <c r="P45" s="33" t="s">
        <v>511</v>
      </c>
    </row>
    <row r="46" spans="1:16" ht="28.8" x14ac:dyDescent="0.3">
      <c r="A46" s="21" t="s">
        <v>100</v>
      </c>
      <c r="B46" s="5" t="s">
        <v>14</v>
      </c>
      <c r="C46" s="5" t="s">
        <v>8</v>
      </c>
      <c r="D46" s="5" t="s">
        <v>10</v>
      </c>
      <c r="E46" s="5" t="s">
        <v>23</v>
      </c>
      <c r="F46" s="11" t="s">
        <v>24</v>
      </c>
      <c r="G46" s="14" t="s">
        <v>75</v>
      </c>
      <c r="H46" s="12">
        <v>325.76</v>
      </c>
      <c r="I46" s="12">
        <v>323.2</v>
      </c>
      <c r="J46" s="13" t="s">
        <v>233</v>
      </c>
      <c r="K46" s="5" t="s">
        <v>316</v>
      </c>
      <c r="L46" s="5" t="s">
        <v>411</v>
      </c>
      <c r="M46" s="5" t="s">
        <v>412</v>
      </c>
      <c r="N46" s="9">
        <f>38</f>
        <v>38</v>
      </c>
      <c r="O46" s="33" t="s">
        <v>511</v>
      </c>
      <c r="P46" s="33"/>
    </row>
    <row r="47" spans="1:16" ht="21" x14ac:dyDescent="0.3">
      <c r="A47" s="10" t="s">
        <v>385</v>
      </c>
      <c r="B47" s="5" t="s">
        <v>14</v>
      </c>
      <c r="C47" s="5" t="s">
        <v>8</v>
      </c>
      <c r="D47" s="5" t="s">
        <v>10</v>
      </c>
      <c r="E47" s="5" t="s">
        <v>11</v>
      </c>
      <c r="F47" s="11" t="s">
        <v>388</v>
      </c>
      <c r="G47" s="11" t="s">
        <v>387</v>
      </c>
      <c r="H47" s="12">
        <v>358.9</v>
      </c>
      <c r="I47" s="12">
        <v>346.7</v>
      </c>
      <c r="J47" s="13"/>
      <c r="K47" s="5" t="s">
        <v>389</v>
      </c>
      <c r="L47" s="5" t="s">
        <v>391</v>
      </c>
      <c r="M47" s="5" t="s">
        <v>390</v>
      </c>
      <c r="N47" s="9">
        <v>36</v>
      </c>
      <c r="O47" s="33"/>
      <c r="P47" s="33" t="s">
        <v>511</v>
      </c>
    </row>
    <row r="48" spans="1:16" ht="28.8" x14ac:dyDescent="0.3">
      <c r="A48" s="26" t="s">
        <v>101</v>
      </c>
      <c r="B48" s="5" t="s">
        <v>14</v>
      </c>
      <c r="C48" s="5" t="s">
        <v>8</v>
      </c>
      <c r="D48" s="5" t="s">
        <v>10</v>
      </c>
      <c r="E48" s="5" t="s">
        <v>11</v>
      </c>
      <c r="F48" s="11" t="s">
        <v>375</v>
      </c>
      <c r="G48" s="4" t="s">
        <v>284</v>
      </c>
      <c r="H48" s="12">
        <v>358.9</v>
      </c>
      <c r="I48" s="12">
        <v>346.7</v>
      </c>
      <c r="J48" s="25" t="s">
        <v>11</v>
      </c>
      <c r="K48" s="5" t="s">
        <v>374</v>
      </c>
      <c r="L48" s="5" t="s">
        <v>456</v>
      </c>
      <c r="M48" s="5" t="s">
        <v>457</v>
      </c>
      <c r="N48" s="9">
        <v>36</v>
      </c>
      <c r="O48" s="33" t="s">
        <v>511</v>
      </c>
      <c r="P48" s="33" t="s">
        <v>511</v>
      </c>
    </row>
    <row r="49" spans="1:16" ht="28.8" x14ac:dyDescent="0.3">
      <c r="A49" s="10" t="s">
        <v>102</v>
      </c>
      <c r="B49" s="5" t="s">
        <v>14</v>
      </c>
      <c r="C49" s="5" t="s">
        <v>8</v>
      </c>
      <c r="D49" s="5" t="s">
        <v>9</v>
      </c>
      <c r="E49" s="5" t="s">
        <v>37</v>
      </c>
      <c r="F49" s="11" t="s">
        <v>241</v>
      </c>
      <c r="G49" s="11" t="s">
        <v>209</v>
      </c>
      <c r="H49" s="12">
        <v>310</v>
      </c>
      <c r="I49" s="12">
        <v>307.26</v>
      </c>
      <c r="J49" s="13" t="s">
        <v>240</v>
      </c>
      <c r="K49" s="5" t="s">
        <v>337</v>
      </c>
      <c r="L49" s="5" t="s">
        <v>460</v>
      </c>
      <c r="M49" s="5" t="s">
        <v>461</v>
      </c>
      <c r="N49" s="9">
        <f>40</f>
        <v>40</v>
      </c>
      <c r="O49" s="33" t="s">
        <v>511</v>
      </c>
      <c r="P49" s="33" t="s">
        <v>511</v>
      </c>
    </row>
    <row r="50" spans="1:16" ht="28.8" x14ac:dyDescent="0.3">
      <c r="A50" s="10" t="s">
        <v>103</v>
      </c>
      <c r="B50" s="5" t="s">
        <v>14</v>
      </c>
      <c r="C50" s="5" t="s">
        <v>8</v>
      </c>
      <c r="D50" s="5" t="s">
        <v>10</v>
      </c>
      <c r="E50" s="5" t="s">
        <v>18</v>
      </c>
      <c r="F50" s="11" t="s">
        <v>49</v>
      </c>
      <c r="G50" s="11" t="s">
        <v>279</v>
      </c>
      <c r="H50" s="12">
        <v>341.43</v>
      </c>
      <c r="I50" s="12">
        <v>336.16</v>
      </c>
      <c r="J50" s="13" t="s">
        <v>244</v>
      </c>
      <c r="K50" s="5" t="s">
        <v>357</v>
      </c>
      <c r="L50" s="5" t="s">
        <v>418</v>
      </c>
      <c r="M50" s="5" t="s">
        <v>398</v>
      </c>
      <c r="N50" s="9">
        <f>37</f>
        <v>37</v>
      </c>
      <c r="O50" s="33" t="s">
        <v>511</v>
      </c>
      <c r="P50" s="33" t="s">
        <v>511</v>
      </c>
    </row>
    <row r="51" spans="1:16" ht="21" x14ac:dyDescent="0.3">
      <c r="A51" s="10" t="s">
        <v>104</v>
      </c>
      <c r="B51" s="5" t="s">
        <v>14</v>
      </c>
      <c r="C51" s="5" t="s">
        <v>53</v>
      </c>
      <c r="D51" s="5" t="s">
        <v>54</v>
      </c>
      <c r="E51" s="5" t="s">
        <v>32</v>
      </c>
      <c r="F51" s="11" t="s">
        <v>35</v>
      </c>
      <c r="G51" s="14" t="s">
        <v>105</v>
      </c>
      <c r="H51" s="12">
        <v>382.7</v>
      </c>
      <c r="I51" s="12">
        <v>379.2</v>
      </c>
      <c r="J51" s="13" t="s">
        <v>36</v>
      </c>
      <c r="K51" s="5" t="s">
        <v>329</v>
      </c>
      <c r="L51" s="5" t="s">
        <v>462</v>
      </c>
      <c r="M51" s="5" t="s">
        <v>463</v>
      </c>
      <c r="N51" s="31">
        <v>34</v>
      </c>
      <c r="O51" s="33" t="s">
        <v>511</v>
      </c>
      <c r="P51" s="33" t="s">
        <v>511</v>
      </c>
    </row>
    <row r="52" spans="1:16" ht="28.8" x14ac:dyDescent="0.3">
      <c r="A52" s="10" t="s">
        <v>106</v>
      </c>
      <c r="B52" s="5" t="s">
        <v>14</v>
      </c>
      <c r="C52" s="5" t="s">
        <v>8</v>
      </c>
      <c r="D52" s="5" t="s">
        <v>10</v>
      </c>
      <c r="E52" s="5" t="s">
        <v>23</v>
      </c>
      <c r="F52" s="11" t="s">
        <v>369</v>
      </c>
      <c r="G52" s="11" t="s">
        <v>210</v>
      </c>
      <c r="H52" s="12">
        <v>325.76</v>
      </c>
      <c r="I52" s="12">
        <v>323.2</v>
      </c>
      <c r="J52" s="13" t="s">
        <v>233</v>
      </c>
      <c r="K52" s="5" t="s">
        <v>316</v>
      </c>
      <c r="L52" s="5" t="s">
        <v>411</v>
      </c>
      <c r="M52" s="5" t="s">
        <v>412</v>
      </c>
      <c r="N52" s="9">
        <f>38</f>
        <v>38</v>
      </c>
      <c r="O52" s="33" t="s">
        <v>511</v>
      </c>
      <c r="P52" s="33" t="s">
        <v>511</v>
      </c>
    </row>
    <row r="53" spans="1:16" ht="28.8" x14ac:dyDescent="0.3">
      <c r="A53" s="10" t="s">
        <v>107</v>
      </c>
      <c r="B53" s="5" t="s">
        <v>14</v>
      </c>
      <c r="C53" s="5" t="s">
        <v>8</v>
      </c>
      <c r="D53" s="5" t="s">
        <v>10</v>
      </c>
      <c r="E53" s="5" t="s">
        <v>23</v>
      </c>
      <c r="F53" s="11" t="s">
        <v>369</v>
      </c>
      <c r="G53" s="11" t="s">
        <v>210</v>
      </c>
      <c r="H53" s="12">
        <v>325.76</v>
      </c>
      <c r="I53" s="12">
        <v>323.2</v>
      </c>
      <c r="J53" s="13" t="s">
        <v>233</v>
      </c>
      <c r="K53" s="5" t="s">
        <v>316</v>
      </c>
      <c r="L53" s="5" t="s">
        <v>411</v>
      </c>
      <c r="M53" s="5" t="s">
        <v>412</v>
      </c>
      <c r="N53" s="9">
        <f>38</f>
        <v>38</v>
      </c>
      <c r="O53" s="33" t="s">
        <v>511</v>
      </c>
      <c r="P53" s="33" t="s">
        <v>511</v>
      </c>
    </row>
    <row r="54" spans="1:16" ht="21" x14ac:dyDescent="0.3">
      <c r="A54" s="19" t="s">
        <v>108</v>
      </c>
      <c r="B54" s="5" t="s">
        <v>14</v>
      </c>
      <c r="C54" s="5" t="s">
        <v>8</v>
      </c>
      <c r="D54" s="5" t="s">
        <v>10</v>
      </c>
      <c r="E54" s="5" t="s">
        <v>11</v>
      </c>
      <c r="F54" s="11" t="s">
        <v>79</v>
      </c>
      <c r="G54" s="14" t="s">
        <v>109</v>
      </c>
      <c r="H54" s="12">
        <v>358.9</v>
      </c>
      <c r="I54" s="12">
        <v>346.7</v>
      </c>
      <c r="J54" s="13" t="s">
        <v>11</v>
      </c>
      <c r="K54" s="5" t="s">
        <v>319</v>
      </c>
      <c r="L54" s="5" t="s">
        <v>441</v>
      </c>
      <c r="M54" s="5" t="s">
        <v>442</v>
      </c>
      <c r="N54" s="9">
        <v>36</v>
      </c>
      <c r="O54" s="33"/>
      <c r="P54" s="33" t="s">
        <v>511</v>
      </c>
    </row>
    <row r="55" spans="1:16" ht="21" x14ac:dyDescent="0.3">
      <c r="A55" s="10" t="s">
        <v>110</v>
      </c>
      <c r="B55" s="5" t="s">
        <v>14</v>
      </c>
      <c r="C55" s="5" t="s">
        <v>53</v>
      </c>
      <c r="D55" s="5" t="s">
        <v>54</v>
      </c>
      <c r="E55" s="5" t="s">
        <v>12</v>
      </c>
      <c r="F55" s="11" t="s">
        <v>111</v>
      </c>
      <c r="G55" s="14" t="s">
        <v>112</v>
      </c>
      <c r="H55" s="12">
        <v>363.33</v>
      </c>
      <c r="I55" s="12">
        <v>358.9</v>
      </c>
      <c r="J55" s="13" t="s">
        <v>28</v>
      </c>
      <c r="K55" s="5" t="s">
        <v>332</v>
      </c>
      <c r="L55" s="5" t="s">
        <v>464</v>
      </c>
      <c r="M55" s="5" t="s">
        <v>465</v>
      </c>
      <c r="N55" s="9">
        <v>35</v>
      </c>
      <c r="O55" s="33" t="s">
        <v>511</v>
      </c>
      <c r="P55" s="33" t="s">
        <v>511</v>
      </c>
    </row>
    <row r="56" spans="1:16" ht="28.8" x14ac:dyDescent="0.3">
      <c r="A56" s="10" t="s">
        <v>113</v>
      </c>
      <c r="B56" s="5" t="s">
        <v>14</v>
      </c>
      <c r="C56" s="5" t="s">
        <v>8</v>
      </c>
      <c r="D56" s="5" t="s">
        <v>10</v>
      </c>
      <c r="E56" s="5" t="s">
        <v>23</v>
      </c>
      <c r="F56" s="11" t="s">
        <v>24</v>
      </c>
      <c r="G56" s="14" t="s">
        <v>39</v>
      </c>
      <c r="H56" s="12">
        <v>325.76</v>
      </c>
      <c r="I56" s="12">
        <v>323.2</v>
      </c>
      <c r="J56" s="13" t="s">
        <v>233</v>
      </c>
      <c r="K56" s="5" t="s">
        <v>316</v>
      </c>
      <c r="L56" s="5" t="s">
        <v>411</v>
      </c>
      <c r="M56" s="5" t="s">
        <v>412</v>
      </c>
      <c r="N56" s="9">
        <f>38</f>
        <v>38</v>
      </c>
      <c r="O56" s="33" t="s">
        <v>511</v>
      </c>
      <c r="P56" s="33" t="s">
        <v>511</v>
      </c>
    </row>
    <row r="57" spans="1:16" ht="28.8" x14ac:dyDescent="0.3">
      <c r="A57" s="10" t="s">
        <v>114</v>
      </c>
      <c r="B57" s="5" t="s">
        <v>14</v>
      </c>
      <c r="C57" s="5" t="s">
        <v>8</v>
      </c>
      <c r="D57" s="5" t="s">
        <v>10</v>
      </c>
      <c r="E57" s="5" t="s">
        <v>23</v>
      </c>
      <c r="F57" s="11" t="s">
        <v>24</v>
      </c>
      <c r="G57" s="14" t="s">
        <v>115</v>
      </c>
      <c r="H57" s="12">
        <v>325.76</v>
      </c>
      <c r="I57" s="12">
        <v>323.2</v>
      </c>
      <c r="J57" s="13" t="s">
        <v>233</v>
      </c>
      <c r="K57" s="5" t="s">
        <v>316</v>
      </c>
      <c r="L57" s="5" t="s">
        <v>411</v>
      </c>
      <c r="M57" s="5" t="s">
        <v>412</v>
      </c>
      <c r="N57" s="9">
        <f>38</f>
        <v>38</v>
      </c>
      <c r="O57" s="33" t="s">
        <v>511</v>
      </c>
      <c r="P57" s="33" t="s">
        <v>511</v>
      </c>
    </row>
    <row r="58" spans="1:16" ht="28.8" x14ac:dyDescent="0.3">
      <c r="A58" s="10" t="s">
        <v>116</v>
      </c>
      <c r="B58" s="5" t="s">
        <v>14</v>
      </c>
      <c r="C58" s="5" t="s">
        <v>8</v>
      </c>
      <c r="D58" s="5" t="s">
        <v>10</v>
      </c>
      <c r="E58" s="5" t="s">
        <v>11</v>
      </c>
      <c r="F58" s="11" t="s">
        <v>371</v>
      </c>
      <c r="G58" s="11" t="s">
        <v>285</v>
      </c>
      <c r="H58" s="12">
        <v>358.9</v>
      </c>
      <c r="I58" s="12">
        <v>350.76</v>
      </c>
      <c r="J58" s="13" t="s">
        <v>267</v>
      </c>
      <c r="K58" s="5" t="s">
        <v>355</v>
      </c>
      <c r="L58" s="5" t="s">
        <v>466</v>
      </c>
      <c r="M58" s="5" t="s">
        <v>467</v>
      </c>
      <c r="N58" s="9">
        <v>36</v>
      </c>
      <c r="O58" s="33" t="s">
        <v>511</v>
      </c>
      <c r="P58" s="33" t="s">
        <v>511</v>
      </c>
    </row>
    <row r="59" spans="1:16" ht="28.8" x14ac:dyDescent="0.3">
      <c r="A59" s="10" t="s">
        <v>117</v>
      </c>
      <c r="B59" s="5" t="s">
        <v>14</v>
      </c>
      <c r="C59" s="5" t="s">
        <v>8</v>
      </c>
      <c r="D59" s="5" t="s">
        <v>10</v>
      </c>
      <c r="E59" s="5" t="s">
        <v>23</v>
      </c>
      <c r="F59" s="11" t="s">
        <v>118</v>
      </c>
      <c r="G59" s="11" t="s">
        <v>119</v>
      </c>
      <c r="H59" s="12">
        <v>330.9</v>
      </c>
      <c r="I59" s="12">
        <v>328.33</v>
      </c>
      <c r="J59" s="13" t="s">
        <v>269</v>
      </c>
      <c r="K59" s="5" t="s">
        <v>317</v>
      </c>
      <c r="L59" s="5" t="s">
        <v>468</v>
      </c>
      <c r="M59" s="5" t="s">
        <v>452</v>
      </c>
      <c r="N59" s="9">
        <f>38</f>
        <v>38</v>
      </c>
      <c r="O59" s="33" t="s">
        <v>511</v>
      </c>
      <c r="P59" s="33" t="s">
        <v>511</v>
      </c>
    </row>
    <row r="60" spans="1:16" ht="38.4" customHeight="1" x14ac:dyDescent="0.3">
      <c r="A60" s="10" t="s">
        <v>502</v>
      </c>
      <c r="B60" s="5" t="s">
        <v>14</v>
      </c>
      <c r="C60" s="5" t="s">
        <v>8</v>
      </c>
      <c r="D60" s="5" t="s">
        <v>10</v>
      </c>
      <c r="E60" s="5" t="s">
        <v>23</v>
      </c>
      <c r="F60" s="11" t="s">
        <v>118</v>
      </c>
      <c r="G60" s="11" t="s">
        <v>119</v>
      </c>
      <c r="H60" s="12">
        <v>330.9</v>
      </c>
      <c r="I60" s="12">
        <v>328.33</v>
      </c>
      <c r="J60" s="13" t="s">
        <v>269</v>
      </c>
      <c r="K60" s="5" t="s">
        <v>317</v>
      </c>
      <c r="L60" t="s">
        <v>453</v>
      </c>
      <c r="M60" s="5" t="s">
        <v>454</v>
      </c>
      <c r="N60" s="9">
        <f>38</f>
        <v>38</v>
      </c>
      <c r="O60" s="33" t="s">
        <v>511</v>
      </c>
      <c r="P60" s="33" t="s">
        <v>511</v>
      </c>
    </row>
    <row r="61" spans="1:16" ht="43.2" x14ac:dyDescent="0.3">
      <c r="A61" s="10" t="s">
        <v>120</v>
      </c>
      <c r="B61" s="5" t="s">
        <v>14</v>
      </c>
      <c r="C61" s="5" t="s">
        <v>8</v>
      </c>
      <c r="D61" s="5" t="s">
        <v>10</v>
      </c>
      <c r="E61" s="5" t="s">
        <v>18</v>
      </c>
      <c r="F61" s="11" t="s">
        <v>235</v>
      </c>
      <c r="G61" s="11" t="s">
        <v>211</v>
      </c>
      <c r="H61" s="12">
        <v>346.7</v>
      </c>
      <c r="I61" s="12">
        <v>330.9</v>
      </c>
      <c r="J61" s="13" t="s">
        <v>18</v>
      </c>
      <c r="K61" s="5" t="s">
        <v>352</v>
      </c>
      <c r="L61" s="5" t="s">
        <v>407</v>
      </c>
      <c r="M61" s="5" t="s">
        <v>408</v>
      </c>
      <c r="N61" s="9">
        <f>37</f>
        <v>37</v>
      </c>
      <c r="O61" s="33" t="s">
        <v>511</v>
      </c>
      <c r="P61" s="33" t="s">
        <v>511</v>
      </c>
    </row>
    <row r="62" spans="1:16" ht="28.8" x14ac:dyDescent="0.3">
      <c r="A62" s="10" t="s">
        <v>121</v>
      </c>
      <c r="B62" s="5" t="s">
        <v>14</v>
      </c>
      <c r="C62" s="5" t="s">
        <v>8</v>
      </c>
      <c r="D62" s="5" t="s">
        <v>9</v>
      </c>
      <c r="E62" s="5" t="s">
        <v>37</v>
      </c>
      <c r="F62" s="11" t="s">
        <v>376</v>
      </c>
      <c r="G62" s="11" t="s">
        <v>212</v>
      </c>
      <c r="H62" s="12">
        <v>315.2</v>
      </c>
      <c r="I62" s="12">
        <v>307</v>
      </c>
      <c r="J62" s="13" t="s">
        <v>37</v>
      </c>
      <c r="K62" s="5" t="s">
        <v>377</v>
      </c>
      <c r="L62" s="5" t="s">
        <v>469</v>
      </c>
      <c r="M62" s="5" t="s">
        <v>470</v>
      </c>
      <c r="N62" s="9">
        <f>40</f>
        <v>40</v>
      </c>
      <c r="O62" s="33" t="s">
        <v>511</v>
      </c>
      <c r="P62" s="33"/>
    </row>
    <row r="63" spans="1:16" ht="28.8" x14ac:dyDescent="0.3">
      <c r="A63" s="10" t="s">
        <v>122</v>
      </c>
      <c r="B63" s="5" t="s">
        <v>14</v>
      </c>
      <c r="C63" s="5" t="s">
        <v>8</v>
      </c>
      <c r="D63" s="5" t="s">
        <v>10</v>
      </c>
      <c r="E63" s="5" t="s">
        <v>23</v>
      </c>
      <c r="F63" s="11" t="s">
        <v>118</v>
      </c>
      <c r="G63" s="14" t="s">
        <v>123</v>
      </c>
      <c r="H63" s="12">
        <v>330.9</v>
      </c>
      <c r="I63" s="12">
        <v>328.33</v>
      </c>
      <c r="J63" s="13" t="s">
        <v>269</v>
      </c>
      <c r="K63" s="5" t="s">
        <v>317</v>
      </c>
      <c r="L63" s="5" t="s">
        <v>451</v>
      </c>
      <c r="M63" s="5" t="s">
        <v>452</v>
      </c>
      <c r="N63" s="9">
        <f>38</f>
        <v>38</v>
      </c>
      <c r="O63" s="33" t="s">
        <v>511</v>
      </c>
      <c r="P63" s="33" t="s">
        <v>511</v>
      </c>
    </row>
    <row r="64" spans="1:16" ht="28.8" x14ac:dyDescent="0.3">
      <c r="A64" s="10" t="s">
        <v>503</v>
      </c>
      <c r="B64" s="5" t="s">
        <v>14</v>
      </c>
      <c r="C64" s="5" t="s">
        <v>8</v>
      </c>
      <c r="D64" s="5" t="s">
        <v>10</v>
      </c>
      <c r="E64" s="5" t="s">
        <v>23</v>
      </c>
      <c r="F64" s="11" t="s">
        <v>118</v>
      </c>
      <c r="G64" s="14" t="s">
        <v>123</v>
      </c>
      <c r="H64" s="12">
        <v>330.9</v>
      </c>
      <c r="I64" s="12">
        <v>328.33</v>
      </c>
      <c r="J64" s="13" t="s">
        <v>269</v>
      </c>
      <c r="K64" s="5" t="s">
        <v>317</v>
      </c>
      <c r="L64" t="s">
        <v>453</v>
      </c>
      <c r="M64" s="5" t="s">
        <v>454</v>
      </c>
      <c r="N64" s="9">
        <f>38</f>
        <v>38</v>
      </c>
      <c r="O64" s="33" t="s">
        <v>511</v>
      </c>
      <c r="P64" s="33" t="s">
        <v>511</v>
      </c>
    </row>
    <row r="65" spans="1:16" ht="28.8" x14ac:dyDescent="0.3">
      <c r="A65" s="10" t="s">
        <v>124</v>
      </c>
      <c r="B65" s="5" t="s">
        <v>14</v>
      </c>
      <c r="C65" s="5" t="s">
        <v>8</v>
      </c>
      <c r="D65" s="5" t="s">
        <v>10</v>
      </c>
      <c r="E65" s="5" t="s">
        <v>18</v>
      </c>
      <c r="F65" s="11" t="s">
        <v>251</v>
      </c>
      <c r="G65" s="11" t="s">
        <v>286</v>
      </c>
      <c r="H65" s="12">
        <v>341.43</v>
      </c>
      <c r="I65" s="12">
        <v>336.16</v>
      </c>
      <c r="J65" s="13" t="s">
        <v>244</v>
      </c>
      <c r="K65" s="5" t="s">
        <v>357</v>
      </c>
      <c r="L65" s="5" t="s">
        <v>418</v>
      </c>
      <c r="M65" s="5" t="s">
        <v>398</v>
      </c>
      <c r="N65" s="9">
        <f>37</f>
        <v>37</v>
      </c>
      <c r="O65" s="33" t="s">
        <v>511</v>
      </c>
      <c r="P65" s="33" t="s">
        <v>511</v>
      </c>
    </row>
    <row r="66" spans="1:16" ht="21" x14ac:dyDescent="0.3">
      <c r="A66" s="10" t="s">
        <v>125</v>
      </c>
      <c r="B66" s="5" t="s">
        <v>14</v>
      </c>
      <c r="C66" s="5" t="s">
        <v>8</v>
      </c>
      <c r="D66" s="5" t="s">
        <v>10</v>
      </c>
      <c r="E66" s="5" t="s">
        <v>18</v>
      </c>
      <c r="F66" s="11" t="s">
        <v>251</v>
      </c>
      <c r="G66" s="11" t="s">
        <v>213</v>
      </c>
      <c r="H66" s="12">
        <v>341.43</v>
      </c>
      <c r="I66" s="12">
        <v>336.16</v>
      </c>
      <c r="J66" s="13" t="s">
        <v>244</v>
      </c>
      <c r="K66" s="5" t="s">
        <v>357</v>
      </c>
      <c r="L66" s="5" t="s">
        <v>418</v>
      </c>
      <c r="M66" s="5" t="s">
        <v>398</v>
      </c>
      <c r="N66" s="9">
        <f>37</f>
        <v>37</v>
      </c>
      <c r="O66" s="33" t="s">
        <v>511</v>
      </c>
      <c r="P66" s="33"/>
    </row>
    <row r="67" spans="1:16" ht="21" x14ac:dyDescent="0.3">
      <c r="A67" s="10" t="s">
        <v>126</v>
      </c>
      <c r="B67" s="5" t="s">
        <v>14</v>
      </c>
      <c r="C67" s="5" t="s">
        <v>8</v>
      </c>
      <c r="D67" s="5" t="s">
        <v>10</v>
      </c>
      <c r="E67" s="5" t="s">
        <v>18</v>
      </c>
      <c r="F67" s="11" t="s">
        <v>251</v>
      </c>
      <c r="G67" s="11" t="s">
        <v>214</v>
      </c>
      <c r="H67" s="12">
        <v>341.43</v>
      </c>
      <c r="I67" s="12">
        <v>336.16</v>
      </c>
      <c r="J67" s="13" t="s">
        <v>244</v>
      </c>
      <c r="K67" s="5" t="s">
        <v>357</v>
      </c>
      <c r="L67" s="5" t="s">
        <v>418</v>
      </c>
      <c r="M67" s="5" t="s">
        <v>398</v>
      </c>
      <c r="N67" s="9">
        <f>37</f>
        <v>37</v>
      </c>
      <c r="O67" s="33" t="s">
        <v>511</v>
      </c>
      <c r="P67" s="33" t="s">
        <v>511</v>
      </c>
    </row>
    <row r="68" spans="1:16" ht="28.8" x14ac:dyDescent="0.3">
      <c r="A68" s="10" t="s">
        <v>127</v>
      </c>
      <c r="B68" s="5" t="s">
        <v>14</v>
      </c>
      <c r="C68" s="5" t="s">
        <v>8</v>
      </c>
      <c r="D68" s="5" t="s">
        <v>9</v>
      </c>
      <c r="E68" s="5" t="s">
        <v>37</v>
      </c>
      <c r="F68" s="11" t="s">
        <v>241</v>
      </c>
      <c r="G68" s="11" t="s">
        <v>215</v>
      </c>
      <c r="H68" s="12">
        <v>310</v>
      </c>
      <c r="I68" s="12">
        <v>307.26</v>
      </c>
      <c r="J68" s="13" t="s">
        <v>240</v>
      </c>
      <c r="K68" s="5" t="s">
        <v>337</v>
      </c>
      <c r="L68" s="5" t="s">
        <v>460</v>
      </c>
      <c r="M68" s="5" t="s">
        <v>461</v>
      </c>
      <c r="N68" s="9">
        <f>40</f>
        <v>40</v>
      </c>
      <c r="O68" s="33" t="s">
        <v>511</v>
      </c>
      <c r="P68" s="33" t="s">
        <v>511</v>
      </c>
    </row>
    <row r="69" spans="1:16" ht="28.8" x14ac:dyDescent="0.3">
      <c r="A69" s="10" t="s">
        <v>128</v>
      </c>
      <c r="B69" s="5" t="s">
        <v>14</v>
      </c>
      <c r="C69" s="5" t="s">
        <v>8</v>
      </c>
      <c r="D69" s="5" t="s">
        <v>9</v>
      </c>
      <c r="E69" s="5" t="s">
        <v>37</v>
      </c>
      <c r="F69" s="11" t="s">
        <v>252</v>
      </c>
      <c r="G69" s="11" t="s">
        <v>215</v>
      </c>
      <c r="H69" s="12">
        <v>309.08999999999997</v>
      </c>
      <c r="I69" s="12">
        <v>307.26</v>
      </c>
      <c r="J69" s="13" t="s">
        <v>253</v>
      </c>
      <c r="K69" s="5" t="s">
        <v>337</v>
      </c>
      <c r="L69" s="5" t="s">
        <v>460</v>
      </c>
      <c r="M69" s="5" t="s">
        <v>461</v>
      </c>
      <c r="N69" s="9">
        <f>40</f>
        <v>40</v>
      </c>
      <c r="O69" s="33" t="s">
        <v>511</v>
      </c>
      <c r="P69" s="33" t="s">
        <v>511</v>
      </c>
    </row>
    <row r="70" spans="1:16" ht="21" x14ac:dyDescent="0.3">
      <c r="A70" s="10" t="s">
        <v>130</v>
      </c>
      <c r="B70" s="5" t="s">
        <v>14</v>
      </c>
      <c r="C70" s="5" t="s">
        <v>53</v>
      </c>
      <c r="D70" s="5" t="s">
        <v>54</v>
      </c>
      <c r="E70" s="5" t="s">
        <v>32</v>
      </c>
      <c r="F70" s="11" t="s">
        <v>96</v>
      </c>
      <c r="G70" s="14" t="s">
        <v>131</v>
      </c>
      <c r="H70" s="12">
        <v>382.7</v>
      </c>
      <c r="I70" s="12">
        <v>379.2</v>
      </c>
      <c r="J70" s="13" t="s">
        <v>36</v>
      </c>
      <c r="K70" s="5" t="s">
        <v>320</v>
      </c>
      <c r="L70" s="20" t="s">
        <v>458</v>
      </c>
      <c r="M70" s="20" t="s">
        <v>459</v>
      </c>
      <c r="N70" s="31">
        <v>34</v>
      </c>
      <c r="O70" s="33"/>
      <c r="P70" s="33" t="s">
        <v>511</v>
      </c>
    </row>
    <row r="71" spans="1:16" ht="21" x14ac:dyDescent="0.3">
      <c r="A71" s="10" t="s">
        <v>132</v>
      </c>
      <c r="B71" s="5" t="s">
        <v>14</v>
      </c>
      <c r="C71" s="5" t="s">
        <v>53</v>
      </c>
      <c r="D71" s="5" t="s">
        <v>54</v>
      </c>
      <c r="E71" s="5" t="s">
        <v>32</v>
      </c>
      <c r="F71" s="11" t="s">
        <v>96</v>
      </c>
      <c r="G71" s="14" t="s">
        <v>131</v>
      </c>
      <c r="H71" s="12">
        <v>382.7</v>
      </c>
      <c r="I71" s="12">
        <v>379.2</v>
      </c>
      <c r="J71" s="13" t="s">
        <v>36</v>
      </c>
      <c r="K71" s="5" t="s">
        <v>320</v>
      </c>
      <c r="L71" s="20" t="s">
        <v>458</v>
      </c>
      <c r="M71" s="20" t="s">
        <v>459</v>
      </c>
      <c r="N71" s="31">
        <v>34</v>
      </c>
      <c r="O71" s="33" t="s">
        <v>511</v>
      </c>
      <c r="P71" s="33" t="s">
        <v>511</v>
      </c>
    </row>
    <row r="72" spans="1:16" s="5" customFormat="1" ht="21" x14ac:dyDescent="0.3">
      <c r="A72" s="10" t="s">
        <v>133</v>
      </c>
      <c r="B72" s="5" t="s">
        <v>14</v>
      </c>
      <c r="C72" s="5" t="s">
        <v>53</v>
      </c>
      <c r="D72" s="5" t="s">
        <v>54</v>
      </c>
      <c r="E72" s="5" t="s">
        <v>32</v>
      </c>
      <c r="F72" s="11" t="s">
        <v>96</v>
      </c>
      <c r="G72" s="11" t="s">
        <v>313</v>
      </c>
      <c r="H72" s="12">
        <v>382.7</v>
      </c>
      <c r="I72" s="12">
        <v>379.2</v>
      </c>
      <c r="J72" s="13" t="s">
        <v>36</v>
      </c>
      <c r="K72" s="5" t="s">
        <v>320</v>
      </c>
      <c r="L72" s="20" t="s">
        <v>458</v>
      </c>
      <c r="M72" s="20" t="s">
        <v>459</v>
      </c>
      <c r="N72" s="31">
        <v>34</v>
      </c>
      <c r="O72" s="33" t="s">
        <v>511</v>
      </c>
      <c r="P72" s="33" t="s">
        <v>511</v>
      </c>
    </row>
    <row r="73" spans="1:16" ht="28.8" x14ac:dyDescent="0.3">
      <c r="A73" s="10" t="s">
        <v>134</v>
      </c>
      <c r="B73" s="5" t="s">
        <v>14</v>
      </c>
      <c r="C73" s="5" t="s">
        <v>53</v>
      </c>
      <c r="D73" s="5" t="s">
        <v>57</v>
      </c>
      <c r="E73" s="5" t="s">
        <v>58</v>
      </c>
      <c r="F73" s="11" t="s">
        <v>324</v>
      </c>
      <c r="G73" s="14" t="s">
        <v>135</v>
      </c>
      <c r="H73" s="12">
        <v>384.36</v>
      </c>
      <c r="I73" s="12">
        <v>379.2</v>
      </c>
      <c r="J73" s="13" t="s">
        <v>237</v>
      </c>
      <c r="K73" s="5" t="s">
        <v>323</v>
      </c>
      <c r="L73" s="27" t="s">
        <v>471</v>
      </c>
      <c r="M73" s="32" t="s">
        <v>472</v>
      </c>
      <c r="N73" s="31">
        <v>33</v>
      </c>
      <c r="O73" s="33" t="s">
        <v>511</v>
      </c>
      <c r="P73" s="33" t="s">
        <v>511</v>
      </c>
    </row>
    <row r="74" spans="1:16" ht="28.8" x14ac:dyDescent="0.3">
      <c r="A74" s="10" t="s">
        <v>136</v>
      </c>
      <c r="B74" s="5" t="s">
        <v>14</v>
      </c>
      <c r="C74" s="5" t="s">
        <v>53</v>
      </c>
      <c r="D74" s="5" t="s">
        <v>57</v>
      </c>
      <c r="E74" s="5" t="s">
        <v>58</v>
      </c>
      <c r="F74" s="11" t="s">
        <v>325</v>
      </c>
      <c r="G74" s="11" t="s">
        <v>137</v>
      </c>
      <c r="H74" s="12">
        <v>384.36</v>
      </c>
      <c r="I74" s="12">
        <v>379.2</v>
      </c>
      <c r="J74" s="13" t="s">
        <v>237</v>
      </c>
      <c r="K74" s="5" t="s">
        <v>323</v>
      </c>
      <c r="L74" s="27" t="s">
        <v>471</v>
      </c>
      <c r="M74" s="32" t="s">
        <v>472</v>
      </c>
      <c r="N74" s="31">
        <v>33</v>
      </c>
      <c r="O74" s="33" t="s">
        <v>511</v>
      </c>
      <c r="P74" s="33" t="s">
        <v>511</v>
      </c>
    </row>
    <row r="75" spans="1:16" ht="28.8" x14ac:dyDescent="0.3">
      <c r="A75" s="10" t="s">
        <v>138</v>
      </c>
      <c r="B75" s="5" t="s">
        <v>14</v>
      </c>
      <c r="C75" s="5" t="s">
        <v>8</v>
      </c>
      <c r="D75" s="5" t="s">
        <v>10</v>
      </c>
      <c r="E75" s="5" t="s">
        <v>18</v>
      </c>
      <c r="F75" s="11" t="s">
        <v>139</v>
      </c>
      <c r="G75" s="11" t="s">
        <v>216</v>
      </c>
      <c r="H75" s="12">
        <v>335.5</v>
      </c>
      <c r="I75" s="12">
        <v>333.5</v>
      </c>
      <c r="J75" s="13" t="s">
        <v>306</v>
      </c>
      <c r="K75" s="5" t="s">
        <v>361</v>
      </c>
      <c r="L75" s="5" t="s">
        <v>433</v>
      </c>
      <c r="M75" s="20" t="s">
        <v>434</v>
      </c>
      <c r="N75" s="9">
        <f>37</f>
        <v>37</v>
      </c>
      <c r="O75" s="33" t="s">
        <v>511</v>
      </c>
      <c r="P75" s="33"/>
    </row>
    <row r="76" spans="1:16" ht="28.8" x14ac:dyDescent="0.3">
      <c r="A76" s="19" t="s">
        <v>140</v>
      </c>
      <c r="B76" s="5" t="s">
        <v>14</v>
      </c>
      <c r="C76" s="5" t="s">
        <v>8</v>
      </c>
      <c r="D76" s="5" t="s">
        <v>10</v>
      </c>
      <c r="E76" s="5" t="s">
        <v>11</v>
      </c>
      <c r="F76" s="11" t="s">
        <v>239</v>
      </c>
      <c r="G76" s="11" t="s">
        <v>217</v>
      </c>
      <c r="H76" s="12">
        <v>358.9</v>
      </c>
      <c r="I76" s="12">
        <v>350.76</v>
      </c>
      <c r="J76" s="13" t="s">
        <v>267</v>
      </c>
      <c r="K76" s="5" t="s">
        <v>355</v>
      </c>
      <c r="L76" s="5" t="s">
        <v>466</v>
      </c>
      <c r="M76" s="5" t="s">
        <v>467</v>
      </c>
      <c r="N76" s="9">
        <v>36</v>
      </c>
      <c r="O76" s="33"/>
      <c r="P76" s="33" t="s">
        <v>511</v>
      </c>
    </row>
    <row r="77" spans="1:16" ht="28.8" x14ac:dyDescent="0.3">
      <c r="A77" s="18" t="s">
        <v>141</v>
      </c>
      <c r="B77" s="5" t="s">
        <v>14</v>
      </c>
      <c r="C77" s="5" t="s">
        <v>53</v>
      </c>
      <c r="D77" s="5" t="s">
        <v>54</v>
      </c>
      <c r="E77" s="5" t="s">
        <v>12</v>
      </c>
      <c r="F77" s="11" t="s">
        <v>262</v>
      </c>
      <c r="G77" s="11" t="s">
        <v>287</v>
      </c>
      <c r="H77" s="12">
        <v>372.2</v>
      </c>
      <c r="I77" s="12">
        <v>367.76</v>
      </c>
      <c r="J77" s="25" t="s">
        <v>307</v>
      </c>
      <c r="K77" s="5" t="s">
        <v>331</v>
      </c>
      <c r="L77" s="5" t="s">
        <v>473</v>
      </c>
      <c r="M77" s="5" t="s">
        <v>474</v>
      </c>
      <c r="N77" s="9">
        <v>35</v>
      </c>
      <c r="O77" s="33"/>
      <c r="P77" s="33" t="s">
        <v>511</v>
      </c>
    </row>
    <row r="78" spans="1:16" ht="28.8" x14ac:dyDescent="0.3">
      <c r="A78" s="10" t="s">
        <v>142</v>
      </c>
      <c r="B78" s="5" t="s">
        <v>14</v>
      </c>
      <c r="C78" s="5" t="s">
        <v>8</v>
      </c>
      <c r="D78" s="5" t="s">
        <v>9</v>
      </c>
      <c r="E78" s="5" t="s">
        <v>37</v>
      </c>
      <c r="F78" s="11" t="s">
        <v>241</v>
      </c>
      <c r="G78" s="11" t="s">
        <v>218</v>
      </c>
      <c r="H78" s="12">
        <v>310</v>
      </c>
      <c r="I78" s="12">
        <v>307.26</v>
      </c>
      <c r="J78" s="13" t="s">
        <v>254</v>
      </c>
      <c r="K78" s="5" t="s">
        <v>337</v>
      </c>
      <c r="L78" s="5" t="s">
        <v>460</v>
      </c>
      <c r="M78" s="5" t="s">
        <v>461</v>
      </c>
      <c r="N78" s="9">
        <f>40</f>
        <v>40</v>
      </c>
      <c r="O78" s="33" t="s">
        <v>511</v>
      </c>
      <c r="P78" s="33"/>
    </row>
    <row r="79" spans="1:16" ht="28.8" x14ac:dyDescent="0.3">
      <c r="A79" s="19" t="s">
        <v>143</v>
      </c>
      <c r="B79" s="5" t="s">
        <v>14</v>
      </c>
      <c r="C79" s="5" t="s">
        <v>8</v>
      </c>
      <c r="D79" s="5" t="s">
        <v>9</v>
      </c>
      <c r="E79" s="11" t="s">
        <v>77</v>
      </c>
      <c r="F79" s="11" t="s">
        <v>144</v>
      </c>
      <c r="G79" s="11" t="s">
        <v>145</v>
      </c>
      <c r="H79" s="12">
        <v>307</v>
      </c>
      <c r="I79" s="12">
        <v>303.7</v>
      </c>
      <c r="J79" s="13" t="s">
        <v>77</v>
      </c>
      <c r="K79" s="5" t="s">
        <v>364</v>
      </c>
      <c r="L79" s="5" t="s">
        <v>475</v>
      </c>
      <c r="M79" s="20" t="s">
        <v>410</v>
      </c>
      <c r="N79" s="31">
        <v>41</v>
      </c>
      <c r="O79" s="33"/>
      <c r="P79" s="33" t="s">
        <v>511</v>
      </c>
    </row>
    <row r="80" spans="1:16" ht="28.8" x14ac:dyDescent="0.3">
      <c r="A80" s="10" t="s">
        <v>146</v>
      </c>
      <c r="B80" s="5" t="s">
        <v>14</v>
      </c>
      <c r="C80" s="5" t="s">
        <v>8</v>
      </c>
      <c r="D80" s="5" t="s">
        <v>10</v>
      </c>
      <c r="E80" s="5" t="s">
        <v>18</v>
      </c>
      <c r="F80" s="11" t="s">
        <v>49</v>
      </c>
      <c r="G80" s="11" t="s">
        <v>288</v>
      </c>
      <c r="H80" s="12">
        <v>341.43</v>
      </c>
      <c r="I80" s="12">
        <v>336.16</v>
      </c>
      <c r="J80" s="13" t="s">
        <v>244</v>
      </c>
      <c r="K80" s="5" t="s">
        <v>357</v>
      </c>
      <c r="L80" s="5" t="s">
        <v>418</v>
      </c>
      <c r="M80" s="5" t="s">
        <v>398</v>
      </c>
      <c r="N80" s="9">
        <f>37</f>
        <v>37</v>
      </c>
      <c r="O80" s="33" t="s">
        <v>511</v>
      </c>
      <c r="P80" s="33" t="s">
        <v>511</v>
      </c>
    </row>
    <row r="81" spans="1:16" ht="28.8" x14ac:dyDescent="0.3">
      <c r="A81" s="10" t="s">
        <v>147</v>
      </c>
      <c r="B81" s="5" t="s">
        <v>14</v>
      </c>
      <c r="C81" s="5" t="s">
        <v>8</v>
      </c>
      <c r="D81" s="5" t="s">
        <v>10</v>
      </c>
      <c r="E81" s="5" t="s">
        <v>18</v>
      </c>
      <c r="F81" s="11" t="s">
        <v>49</v>
      </c>
      <c r="G81" s="11" t="s">
        <v>289</v>
      </c>
      <c r="H81" s="12">
        <v>341.43</v>
      </c>
      <c r="I81" s="12">
        <v>336.16</v>
      </c>
      <c r="J81" s="13" t="s">
        <v>244</v>
      </c>
      <c r="K81" s="5" t="s">
        <v>357</v>
      </c>
      <c r="L81" s="5" t="s">
        <v>418</v>
      </c>
      <c r="M81" s="5" t="s">
        <v>398</v>
      </c>
      <c r="N81" s="9">
        <f>37</f>
        <v>37</v>
      </c>
      <c r="O81" s="33" t="s">
        <v>511</v>
      </c>
      <c r="P81" s="33" t="s">
        <v>511</v>
      </c>
    </row>
    <row r="82" spans="1:16" ht="28.8" x14ac:dyDescent="0.3">
      <c r="A82" s="19" t="s">
        <v>148</v>
      </c>
      <c r="B82" s="5" t="s">
        <v>14</v>
      </c>
      <c r="C82" s="5" t="s">
        <v>8</v>
      </c>
      <c r="D82" s="5" t="s">
        <v>10</v>
      </c>
      <c r="E82" s="5" t="s">
        <v>23</v>
      </c>
      <c r="F82" s="11" t="s">
        <v>369</v>
      </c>
      <c r="G82" s="11" t="s">
        <v>149</v>
      </c>
      <c r="H82" s="12">
        <v>325.76</v>
      </c>
      <c r="I82" s="12">
        <v>323.2</v>
      </c>
      <c r="J82" s="13" t="s">
        <v>233</v>
      </c>
      <c r="K82" s="5" t="s">
        <v>316</v>
      </c>
      <c r="L82" s="5" t="s">
        <v>411</v>
      </c>
      <c r="M82" s="5" t="s">
        <v>412</v>
      </c>
      <c r="N82" s="9">
        <f>38</f>
        <v>38</v>
      </c>
      <c r="O82" s="33"/>
      <c r="P82" s="33" t="s">
        <v>511</v>
      </c>
    </row>
    <row r="83" spans="1:16" ht="28.8" x14ac:dyDescent="0.3">
      <c r="A83" s="10" t="s">
        <v>150</v>
      </c>
      <c r="B83" s="5" t="s">
        <v>14</v>
      </c>
      <c r="C83" s="5" t="s">
        <v>8</v>
      </c>
      <c r="D83" s="5" t="s">
        <v>9</v>
      </c>
      <c r="E83" s="5" t="s">
        <v>37</v>
      </c>
      <c r="F83" s="11" t="s">
        <v>151</v>
      </c>
      <c r="G83" s="11" t="s">
        <v>219</v>
      </c>
      <c r="H83" s="12">
        <v>312.45999999999998</v>
      </c>
      <c r="I83" s="12">
        <v>310.7</v>
      </c>
      <c r="J83" s="13" t="s">
        <v>263</v>
      </c>
      <c r="K83" s="5" t="s">
        <v>350</v>
      </c>
      <c r="L83" s="5" t="s">
        <v>476</v>
      </c>
      <c r="M83" s="5" t="s">
        <v>477</v>
      </c>
      <c r="N83" s="9">
        <f>40</f>
        <v>40</v>
      </c>
      <c r="O83" s="33" t="s">
        <v>511</v>
      </c>
      <c r="P83" s="33" t="s">
        <v>511</v>
      </c>
    </row>
    <row r="84" spans="1:16" ht="28.8" x14ac:dyDescent="0.3">
      <c r="A84" s="19" t="s">
        <v>152</v>
      </c>
      <c r="B84" s="5" t="s">
        <v>14</v>
      </c>
      <c r="C84" s="5" t="s">
        <v>8</v>
      </c>
      <c r="D84" s="5" t="s">
        <v>10</v>
      </c>
      <c r="E84" s="5" t="s">
        <v>18</v>
      </c>
      <c r="F84" s="11" t="s">
        <v>49</v>
      </c>
      <c r="G84" s="11" t="s">
        <v>220</v>
      </c>
      <c r="H84" s="12">
        <v>341.43</v>
      </c>
      <c r="I84" s="12">
        <v>336.16</v>
      </c>
      <c r="J84" s="13" t="s">
        <v>244</v>
      </c>
      <c r="K84" s="5" t="s">
        <v>357</v>
      </c>
      <c r="L84" s="5" t="s">
        <v>418</v>
      </c>
      <c r="M84" s="5" t="s">
        <v>398</v>
      </c>
      <c r="N84" s="9">
        <f>37</f>
        <v>37</v>
      </c>
      <c r="O84" s="33" t="s">
        <v>511</v>
      </c>
      <c r="P84" s="33"/>
    </row>
    <row r="85" spans="1:16" ht="40.799999999999997" customHeight="1" x14ac:dyDescent="0.3">
      <c r="A85" s="10" t="s">
        <v>153</v>
      </c>
      <c r="B85" s="5" t="s">
        <v>14</v>
      </c>
      <c r="C85" s="5" t="s">
        <v>8</v>
      </c>
      <c r="D85" s="5" t="s">
        <v>10</v>
      </c>
      <c r="E85" s="5" t="s">
        <v>11</v>
      </c>
      <c r="F85" s="11" t="s">
        <v>154</v>
      </c>
      <c r="G85" s="11" t="s">
        <v>221</v>
      </c>
      <c r="H85" s="12">
        <v>358.9</v>
      </c>
      <c r="I85" s="12">
        <v>344.5</v>
      </c>
      <c r="J85" s="13" t="s">
        <v>255</v>
      </c>
      <c r="K85" s="5" t="s">
        <v>358</v>
      </c>
      <c r="L85" s="5" t="s">
        <v>396</v>
      </c>
      <c r="M85" s="5" t="s">
        <v>397</v>
      </c>
      <c r="N85" s="9">
        <v>36</v>
      </c>
      <c r="O85" s="33" t="s">
        <v>511</v>
      </c>
      <c r="P85" s="33"/>
    </row>
    <row r="86" spans="1:16" ht="21" x14ac:dyDescent="0.3">
      <c r="A86" s="19" t="s">
        <v>155</v>
      </c>
      <c r="B86" s="5" t="s">
        <v>14</v>
      </c>
      <c r="C86" s="5" t="s">
        <v>53</v>
      </c>
      <c r="D86" s="5" t="s">
        <v>54</v>
      </c>
      <c r="E86" s="5" t="s">
        <v>32</v>
      </c>
      <c r="F86" s="11" t="s">
        <v>96</v>
      </c>
      <c r="G86" s="14" t="s">
        <v>156</v>
      </c>
      <c r="H86" s="12">
        <v>382.7</v>
      </c>
      <c r="I86" s="12">
        <v>379.2</v>
      </c>
      <c r="J86" s="13" t="s">
        <v>36</v>
      </c>
      <c r="K86" s="5" t="s">
        <v>320</v>
      </c>
      <c r="L86" s="20" t="s">
        <v>458</v>
      </c>
      <c r="M86" s="20" t="s">
        <v>459</v>
      </c>
      <c r="N86" s="31">
        <v>34</v>
      </c>
      <c r="O86" s="33"/>
      <c r="P86" s="33" t="s">
        <v>511</v>
      </c>
    </row>
    <row r="87" spans="1:16" ht="28.8" x14ac:dyDescent="0.3">
      <c r="A87" s="10" t="s">
        <v>157</v>
      </c>
      <c r="B87" s="5" t="s">
        <v>14</v>
      </c>
      <c r="C87" s="5" t="s">
        <v>8</v>
      </c>
      <c r="D87" s="5" t="s">
        <v>10</v>
      </c>
      <c r="E87" s="5" t="s">
        <v>18</v>
      </c>
      <c r="F87" s="11" t="s">
        <v>49</v>
      </c>
      <c r="G87" s="11" t="s">
        <v>290</v>
      </c>
      <c r="H87" s="12">
        <v>341.43</v>
      </c>
      <c r="I87" s="12">
        <v>336.16</v>
      </c>
      <c r="J87" s="13" t="s">
        <v>244</v>
      </c>
      <c r="K87" s="5" t="s">
        <v>357</v>
      </c>
      <c r="L87" s="5" t="s">
        <v>478</v>
      </c>
      <c r="M87" s="5" t="s">
        <v>398</v>
      </c>
      <c r="N87" s="9">
        <f>37</f>
        <v>37</v>
      </c>
      <c r="O87" s="33" t="s">
        <v>511</v>
      </c>
      <c r="P87" s="33" t="s">
        <v>511</v>
      </c>
    </row>
    <row r="88" spans="1:16" ht="28.8" x14ac:dyDescent="0.3">
      <c r="A88" s="10" t="s">
        <v>158</v>
      </c>
      <c r="B88" s="5" t="s">
        <v>14</v>
      </c>
      <c r="C88" s="5" t="s">
        <v>8</v>
      </c>
      <c r="D88" s="5" t="s">
        <v>10</v>
      </c>
      <c r="E88" s="5" t="s">
        <v>23</v>
      </c>
      <c r="F88" s="11" t="s">
        <v>369</v>
      </c>
      <c r="G88" s="14" t="s">
        <v>25</v>
      </c>
      <c r="H88" s="12">
        <v>325.76</v>
      </c>
      <c r="I88" s="12">
        <v>323.2</v>
      </c>
      <c r="J88" s="13" t="s">
        <v>233</v>
      </c>
      <c r="K88" s="5" t="s">
        <v>316</v>
      </c>
      <c r="L88" s="5" t="s">
        <v>411</v>
      </c>
      <c r="M88" s="5" t="s">
        <v>412</v>
      </c>
      <c r="N88" s="9">
        <f>38</f>
        <v>38</v>
      </c>
      <c r="O88" s="33" t="s">
        <v>511</v>
      </c>
      <c r="P88" s="33" t="s">
        <v>511</v>
      </c>
    </row>
    <row r="89" spans="1:16" ht="21" x14ac:dyDescent="0.3">
      <c r="A89" s="15" t="s">
        <v>228</v>
      </c>
      <c r="B89" t="s">
        <v>14</v>
      </c>
      <c r="C89" t="s">
        <v>8</v>
      </c>
      <c r="D89" t="s">
        <v>10</v>
      </c>
      <c r="E89" t="s">
        <v>23</v>
      </c>
      <c r="F89" s="4" t="s">
        <v>229</v>
      </c>
      <c r="G89" s="4" t="s">
        <v>291</v>
      </c>
      <c r="H89" s="16">
        <v>330.9</v>
      </c>
      <c r="I89" s="12">
        <v>323.2</v>
      </c>
      <c r="J89" s="17" t="s">
        <v>23</v>
      </c>
      <c r="K89" s="5" t="s">
        <v>365</v>
      </c>
      <c r="L89" s="5" t="s">
        <v>479</v>
      </c>
      <c r="M89" s="5" t="s">
        <v>480</v>
      </c>
      <c r="N89" s="9">
        <f>38</f>
        <v>38</v>
      </c>
      <c r="O89" s="33"/>
      <c r="P89" s="33" t="s">
        <v>511</v>
      </c>
    </row>
    <row r="90" spans="1:16" ht="28.8" x14ac:dyDescent="0.3">
      <c r="A90" s="10" t="s">
        <v>159</v>
      </c>
      <c r="B90" s="5" t="s">
        <v>14</v>
      </c>
      <c r="C90" s="5" t="s">
        <v>8</v>
      </c>
      <c r="D90" s="5" t="s">
        <v>9</v>
      </c>
      <c r="E90" s="5" t="s">
        <v>30</v>
      </c>
      <c r="F90" s="11" t="s">
        <v>160</v>
      </c>
      <c r="G90" s="11" t="s">
        <v>222</v>
      </c>
      <c r="H90" s="12">
        <v>302.83999999999997</v>
      </c>
      <c r="I90" s="12">
        <v>302.5</v>
      </c>
      <c r="J90" s="13" t="s">
        <v>258</v>
      </c>
      <c r="K90" s="5" t="s">
        <v>351</v>
      </c>
      <c r="L90" s="5" t="s">
        <v>481</v>
      </c>
      <c r="M90" s="5" t="s">
        <v>482</v>
      </c>
      <c r="N90" s="9">
        <v>42</v>
      </c>
      <c r="O90" s="33" t="s">
        <v>511</v>
      </c>
      <c r="P90" s="33"/>
    </row>
    <row r="91" spans="1:16" ht="28.8" x14ac:dyDescent="0.3">
      <c r="A91" s="10" t="s">
        <v>161</v>
      </c>
      <c r="B91" s="5" t="s">
        <v>14</v>
      </c>
      <c r="C91" s="5" t="s">
        <v>8</v>
      </c>
      <c r="D91" s="5" t="s">
        <v>9</v>
      </c>
      <c r="E91" s="5" t="s">
        <v>37</v>
      </c>
      <c r="F91" s="11" t="s">
        <v>162</v>
      </c>
      <c r="G91" s="11" t="s">
        <v>292</v>
      </c>
      <c r="H91" s="12">
        <v>310</v>
      </c>
      <c r="I91" s="12">
        <v>307.26</v>
      </c>
      <c r="J91" s="13" t="s">
        <v>254</v>
      </c>
      <c r="K91" s="5" t="s">
        <v>338</v>
      </c>
      <c r="L91" s="5" t="s">
        <v>460</v>
      </c>
      <c r="M91" s="5" t="s">
        <v>461</v>
      </c>
      <c r="N91" s="9">
        <f>40</f>
        <v>40</v>
      </c>
      <c r="O91" s="33" t="s">
        <v>511</v>
      </c>
      <c r="P91" s="33" t="s">
        <v>511</v>
      </c>
    </row>
    <row r="92" spans="1:16" ht="28.8" x14ac:dyDescent="0.3">
      <c r="A92" s="10" t="s">
        <v>504</v>
      </c>
      <c r="B92" s="5" t="s">
        <v>14</v>
      </c>
      <c r="C92" s="5" t="s">
        <v>8</v>
      </c>
      <c r="D92" s="5" t="s">
        <v>9</v>
      </c>
      <c r="E92" s="5" t="s">
        <v>37</v>
      </c>
      <c r="F92" s="11" t="s">
        <v>162</v>
      </c>
      <c r="G92" s="11" t="s">
        <v>292</v>
      </c>
      <c r="H92" s="12">
        <v>310</v>
      </c>
      <c r="I92" s="12">
        <v>307.26</v>
      </c>
      <c r="J92" s="13" t="s">
        <v>254</v>
      </c>
      <c r="K92" s="5" t="s">
        <v>338</v>
      </c>
      <c r="L92" t="s">
        <v>483</v>
      </c>
      <c r="M92" s="5" t="s">
        <v>484</v>
      </c>
      <c r="N92" s="9">
        <f>40</f>
        <v>40</v>
      </c>
      <c r="O92" s="33" t="s">
        <v>511</v>
      </c>
      <c r="P92" s="33" t="s">
        <v>511</v>
      </c>
    </row>
    <row r="93" spans="1:16" ht="28.8" x14ac:dyDescent="0.3">
      <c r="A93" s="10" t="s">
        <v>163</v>
      </c>
      <c r="B93" s="5" t="s">
        <v>14</v>
      </c>
      <c r="C93" s="5" t="s">
        <v>8</v>
      </c>
      <c r="D93" s="5" t="s">
        <v>9</v>
      </c>
      <c r="E93" s="5" t="s">
        <v>37</v>
      </c>
      <c r="F93" s="11" t="s">
        <v>339</v>
      </c>
      <c r="G93" s="11" t="s">
        <v>293</v>
      </c>
      <c r="H93" s="12">
        <v>309.73</v>
      </c>
      <c r="I93" s="12">
        <v>305.89999999999998</v>
      </c>
      <c r="J93" s="13" t="s">
        <v>234</v>
      </c>
      <c r="K93" s="5" t="s">
        <v>340</v>
      </c>
      <c r="L93" s="5" t="s">
        <v>485</v>
      </c>
      <c r="M93" s="5" t="s">
        <v>486</v>
      </c>
      <c r="N93" s="9">
        <f>40</f>
        <v>40</v>
      </c>
      <c r="O93" s="33" t="s">
        <v>511</v>
      </c>
      <c r="P93" s="33" t="s">
        <v>511</v>
      </c>
    </row>
    <row r="94" spans="1:16" ht="28.8" x14ac:dyDescent="0.3">
      <c r="A94" s="10" t="s">
        <v>164</v>
      </c>
      <c r="B94" s="5" t="s">
        <v>14</v>
      </c>
      <c r="C94" s="5" t="s">
        <v>8</v>
      </c>
      <c r="D94" s="5" t="s">
        <v>10</v>
      </c>
      <c r="E94" s="5" t="s">
        <v>18</v>
      </c>
      <c r="F94" s="11" t="s">
        <v>49</v>
      </c>
      <c r="G94" s="11" t="s">
        <v>294</v>
      </c>
      <c r="H94" s="12">
        <v>341.43</v>
      </c>
      <c r="I94" s="12">
        <v>336.16</v>
      </c>
      <c r="J94" s="13" t="s">
        <v>244</v>
      </c>
      <c r="K94" s="5" t="s">
        <v>357</v>
      </c>
      <c r="L94" s="5" t="s">
        <v>418</v>
      </c>
      <c r="M94" s="5" t="s">
        <v>398</v>
      </c>
      <c r="N94" s="9">
        <f>37</f>
        <v>37</v>
      </c>
      <c r="O94" s="33" t="s">
        <v>511</v>
      </c>
      <c r="P94" s="33" t="s">
        <v>511</v>
      </c>
    </row>
    <row r="95" spans="1:16" ht="28.8" x14ac:dyDescent="0.3">
      <c r="A95" s="10" t="s">
        <v>165</v>
      </c>
      <c r="B95" s="5" t="s">
        <v>14</v>
      </c>
      <c r="C95" s="5" t="s">
        <v>8</v>
      </c>
      <c r="D95" s="5" t="s">
        <v>10</v>
      </c>
      <c r="E95" s="5" t="s">
        <v>18</v>
      </c>
      <c r="F95" s="11" t="s">
        <v>49</v>
      </c>
      <c r="G95" s="11" t="s">
        <v>166</v>
      </c>
      <c r="H95" s="12">
        <v>341.43</v>
      </c>
      <c r="I95" s="12">
        <v>336.16</v>
      </c>
      <c r="J95" s="13" t="s">
        <v>512</v>
      </c>
      <c r="K95" s="5" t="s">
        <v>357</v>
      </c>
      <c r="L95" s="5" t="s">
        <v>418</v>
      </c>
      <c r="M95" s="5" t="s">
        <v>398</v>
      </c>
      <c r="N95" s="9">
        <f>37</f>
        <v>37</v>
      </c>
      <c r="O95" s="33" t="s">
        <v>511</v>
      </c>
      <c r="P95" s="33" t="s">
        <v>511</v>
      </c>
    </row>
    <row r="96" spans="1:16" ht="28.8" x14ac:dyDescent="0.3">
      <c r="A96" s="10" t="s">
        <v>167</v>
      </c>
      <c r="B96" s="5" t="s">
        <v>14</v>
      </c>
      <c r="C96" s="5" t="s">
        <v>8</v>
      </c>
      <c r="D96" s="5" t="s">
        <v>10</v>
      </c>
      <c r="E96" s="5" t="s">
        <v>18</v>
      </c>
      <c r="F96" s="11" t="s">
        <v>168</v>
      </c>
      <c r="G96" s="11" t="s">
        <v>295</v>
      </c>
      <c r="H96" s="12">
        <v>346.7</v>
      </c>
      <c r="I96" s="12">
        <v>330.9</v>
      </c>
      <c r="J96" s="13" t="s">
        <v>18</v>
      </c>
      <c r="K96" s="5" t="s">
        <v>370</v>
      </c>
      <c r="L96" s="5" t="s">
        <v>487</v>
      </c>
      <c r="M96" s="5" t="s">
        <v>488</v>
      </c>
      <c r="N96" s="9">
        <f>37</f>
        <v>37</v>
      </c>
      <c r="O96" s="33" t="s">
        <v>511</v>
      </c>
      <c r="P96" s="33" t="s">
        <v>511</v>
      </c>
    </row>
    <row r="97" spans="1:16" ht="52.2" customHeight="1" x14ac:dyDescent="0.3">
      <c r="A97" s="21" t="s">
        <v>169</v>
      </c>
      <c r="B97" s="5" t="s">
        <v>14</v>
      </c>
      <c r="C97" s="5" t="s">
        <v>8</v>
      </c>
      <c r="D97" s="5" t="s">
        <v>9</v>
      </c>
      <c r="E97" s="5" t="s">
        <v>37</v>
      </c>
      <c r="F97" s="11" t="s">
        <v>264</v>
      </c>
      <c r="G97" s="11" t="s">
        <v>223</v>
      </c>
      <c r="H97" s="12">
        <v>309.73</v>
      </c>
      <c r="I97" s="12">
        <v>305.89999999999998</v>
      </c>
      <c r="J97" s="13" t="s">
        <v>308</v>
      </c>
      <c r="K97" s="5" t="s">
        <v>340</v>
      </c>
      <c r="L97" s="5" t="s">
        <v>485</v>
      </c>
      <c r="M97" s="5" t="s">
        <v>486</v>
      </c>
      <c r="N97" s="9">
        <f>40</f>
        <v>40</v>
      </c>
      <c r="O97" s="33" t="s">
        <v>511</v>
      </c>
      <c r="P97" s="33" t="s">
        <v>511</v>
      </c>
    </row>
    <row r="98" spans="1:16" ht="28.8" x14ac:dyDescent="0.3">
      <c r="A98" s="10" t="s">
        <v>170</v>
      </c>
      <c r="B98" s="5" t="s">
        <v>14</v>
      </c>
      <c r="C98" s="5" t="s">
        <v>8</v>
      </c>
      <c r="D98" s="5" t="s">
        <v>10</v>
      </c>
      <c r="E98" s="5" t="s">
        <v>11</v>
      </c>
      <c r="F98" s="11" t="s">
        <v>362</v>
      </c>
      <c r="G98" s="11" t="s">
        <v>224</v>
      </c>
      <c r="H98" s="12">
        <v>350.76</v>
      </c>
      <c r="I98" s="12">
        <v>346.7</v>
      </c>
      <c r="J98" s="13" t="s">
        <v>270</v>
      </c>
      <c r="K98" s="5" t="s">
        <v>363</v>
      </c>
      <c r="L98" s="5" t="s">
        <v>490</v>
      </c>
      <c r="M98" s="5" t="s">
        <v>491</v>
      </c>
      <c r="N98" s="9">
        <v>36</v>
      </c>
      <c r="O98" s="33" t="s">
        <v>511</v>
      </c>
      <c r="P98" s="33"/>
    </row>
    <row r="99" spans="1:16" ht="28.8" x14ac:dyDescent="0.3">
      <c r="A99" s="10" t="s">
        <v>171</v>
      </c>
      <c r="B99" s="5" t="s">
        <v>14</v>
      </c>
      <c r="C99" s="5" t="s">
        <v>8</v>
      </c>
      <c r="D99" s="5" t="s">
        <v>9</v>
      </c>
      <c r="E99" s="5" t="s">
        <v>30</v>
      </c>
      <c r="F99" s="11" t="s">
        <v>347</v>
      </c>
      <c r="G99" s="11" t="s">
        <v>296</v>
      </c>
      <c r="H99" s="12">
        <v>303.5</v>
      </c>
      <c r="I99" s="12">
        <v>298.89999999999998</v>
      </c>
      <c r="J99" s="13" t="s">
        <v>303</v>
      </c>
      <c r="K99" s="5" t="s">
        <v>348</v>
      </c>
      <c r="L99" s="5" t="s">
        <v>492</v>
      </c>
      <c r="M99" s="5" t="s">
        <v>493</v>
      </c>
      <c r="N99" s="9">
        <v>42</v>
      </c>
      <c r="O99" s="33" t="s">
        <v>511</v>
      </c>
      <c r="P99" s="33" t="s">
        <v>511</v>
      </c>
    </row>
    <row r="100" spans="1:16" ht="28.8" x14ac:dyDescent="0.3">
      <c r="A100" s="10" t="s">
        <v>172</v>
      </c>
      <c r="B100" s="5" t="s">
        <v>14</v>
      </c>
      <c r="C100" s="5" t="s">
        <v>53</v>
      </c>
      <c r="D100" s="5" t="s">
        <v>57</v>
      </c>
      <c r="E100" s="5" t="s">
        <v>58</v>
      </c>
      <c r="F100" s="11" t="s">
        <v>256</v>
      </c>
      <c r="G100" s="11" t="s">
        <v>173</v>
      </c>
      <c r="H100" s="12">
        <v>387.7</v>
      </c>
      <c r="I100" s="12">
        <v>382.7</v>
      </c>
      <c r="J100" s="13" t="s">
        <v>33</v>
      </c>
      <c r="K100" s="5" t="s">
        <v>326</v>
      </c>
      <c r="L100" t="s">
        <v>395</v>
      </c>
      <c r="M100" s="5" t="s">
        <v>394</v>
      </c>
      <c r="N100" s="9">
        <v>33</v>
      </c>
      <c r="O100" s="33" t="s">
        <v>511</v>
      </c>
      <c r="P100" s="33" t="s">
        <v>511</v>
      </c>
    </row>
    <row r="101" spans="1:16" ht="28.8" x14ac:dyDescent="0.3">
      <c r="A101" s="10" t="s">
        <v>505</v>
      </c>
      <c r="B101" s="5" t="s">
        <v>14</v>
      </c>
      <c r="C101" s="5" t="s">
        <v>53</v>
      </c>
      <c r="D101" s="5" t="s">
        <v>57</v>
      </c>
      <c r="E101" s="5" t="s">
        <v>58</v>
      </c>
      <c r="F101" s="11" t="s">
        <v>256</v>
      </c>
      <c r="G101" s="11" t="s">
        <v>173</v>
      </c>
      <c r="H101" s="12">
        <v>387.7</v>
      </c>
      <c r="I101" s="12">
        <v>382.7</v>
      </c>
      <c r="J101" s="13" t="s">
        <v>33</v>
      </c>
      <c r="K101" s="5" t="s">
        <v>326</v>
      </c>
      <c r="L101" s="5" t="s">
        <v>393</v>
      </c>
      <c r="M101" s="5" t="s">
        <v>392</v>
      </c>
      <c r="N101" s="9">
        <v>33</v>
      </c>
      <c r="O101" s="33" t="s">
        <v>511</v>
      </c>
      <c r="P101" s="33" t="s">
        <v>511</v>
      </c>
    </row>
    <row r="102" spans="1:16" ht="28.8" x14ac:dyDescent="0.3">
      <c r="A102" s="15" t="s">
        <v>230</v>
      </c>
      <c r="B102" t="s">
        <v>14</v>
      </c>
      <c r="C102" t="s">
        <v>8</v>
      </c>
      <c r="D102" t="s">
        <v>10</v>
      </c>
      <c r="E102" t="s">
        <v>11</v>
      </c>
      <c r="F102" s="4" t="s">
        <v>231</v>
      </c>
      <c r="G102" s="4" t="s">
        <v>297</v>
      </c>
      <c r="H102" s="12">
        <v>358.9</v>
      </c>
      <c r="I102" s="12">
        <v>346.7</v>
      </c>
      <c r="J102" s="25" t="s">
        <v>11</v>
      </c>
      <c r="K102" s="5" t="s">
        <v>358</v>
      </c>
      <c r="L102" s="5" t="s">
        <v>396</v>
      </c>
      <c r="M102" s="5" t="s">
        <v>397</v>
      </c>
      <c r="N102" s="9">
        <v>36</v>
      </c>
      <c r="O102" s="33"/>
      <c r="P102" s="33" t="s">
        <v>511</v>
      </c>
    </row>
    <row r="103" spans="1:16" ht="28.8" x14ac:dyDescent="0.3">
      <c r="A103" s="10" t="s">
        <v>174</v>
      </c>
      <c r="B103" s="5" t="s">
        <v>14</v>
      </c>
      <c r="C103" s="5" t="s">
        <v>8</v>
      </c>
      <c r="D103" s="5" t="s">
        <v>10</v>
      </c>
      <c r="E103" s="5" t="s">
        <v>18</v>
      </c>
      <c r="F103" s="11" t="s">
        <v>175</v>
      </c>
      <c r="G103" s="11" t="s">
        <v>298</v>
      </c>
      <c r="H103" s="12">
        <v>339</v>
      </c>
      <c r="I103" s="12">
        <v>337.5</v>
      </c>
      <c r="J103" s="34" t="s">
        <v>309</v>
      </c>
      <c r="K103" s="5" t="s">
        <v>357</v>
      </c>
      <c r="L103" s="5" t="s">
        <v>418</v>
      </c>
      <c r="M103" s="5" t="s">
        <v>398</v>
      </c>
      <c r="N103" s="9">
        <f>37</f>
        <v>37</v>
      </c>
      <c r="O103" s="33" t="s">
        <v>511</v>
      </c>
      <c r="P103" s="33" t="s">
        <v>511</v>
      </c>
    </row>
    <row r="104" spans="1:16" ht="43.2" x14ac:dyDescent="0.3">
      <c r="A104" s="10" t="s">
        <v>176</v>
      </c>
      <c r="B104" s="5" t="s">
        <v>14</v>
      </c>
      <c r="C104" s="5" t="s">
        <v>8</v>
      </c>
      <c r="D104" s="5" t="s">
        <v>10</v>
      </c>
      <c r="E104" s="5" t="s">
        <v>18</v>
      </c>
      <c r="F104" s="11" t="s">
        <v>235</v>
      </c>
      <c r="G104" s="11" t="s">
        <v>225</v>
      </c>
      <c r="H104" s="12">
        <v>346.7</v>
      </c>
      <c r="I104" s="12">
        <v>330.9</v>
      </c>
      <c r="J104" s="13" t="s">
        <v>18</v>
      </c>
      <c r="K104" s="5" t="s">
        <v>352</v>
      </c>
      <c r="L104" s="5" t="s">
        <v>399</v>
      </c>
      <c r="M104" s="5" t="s">
        <v>400</v>
      </c>
      <c r="N104" s="9">
        <f>37</f>
        <v>37</v>
      </c>
      <c r="O104" s="33"/>
      <c r="P104" s="33" t="s">
        <v>511</v>
      </c>
    </row>
    <row r="105" spans="1:16" ht="28.8" x14ac:dyDescent="0.3">
      <c r="A105" s="10" t="s">
        <v>177</v>
      </c>
      <c r="B105" s="5" t="s">
        <v>14</v>
      </c>
      <c r="C105" s="5" t="s">
        <v>8</v>
      </c>
      <c r="D105" s="5" t="s">
        <v>9</v>
      </c>
      <c r="E105" s="5" t="s">
        <v>15</v>
      </c>
      <c r="F105" s="11" t="s">
        <v>178</v>
      </c>
      <c r="G105" s="11" t="s">
        <v>299</v>
      </c>
      <c r="H105" s="12">
        <v>307</v>
      </c>
      <c r="I105" s="12">
        <v>304.8</v>
      </c>
      <c r="J105" s="13" t="s">
        <v>246</v>
      </c>
      <c r="K105" s="5" t="s">
        <v>336</v>
      </c>
      <c r="L105" s="5" t="s">
        <v>401</v>
      </c>
      <c r="M105" s="5" t="s">
        <v>489</v>
      </c>
      <c r="N105" s="9">
        <v>41</v>
      </c>
      <c r="O105" s="33" t="s">
        <v>511</v>
      </c>
      <c r="P105" s="33" t="s">
        <v>511</v>
      </c>
    </row>
    <row r="106" spans="1:16" ht="28.8" x14ac:dyDescent="0.3">
      <c r="A106" s="19" t="s">
        <v>179</v>
      </c>
      <c r="B106" s="5" t="s">
        <v>14</v>
      </c>
      <c r="C106" s="5" t="s">
        <v>8</v>
      </c>
      <c r="D106" s="5" t="s">
        <v>10</v>
      </c>
      <c r="E106" s="5" t="s">
        <v>18</v>
      </c>
      <c r="F106" s="11" t="s">
        <v>180</v>
      </c>
      <c r="G106" s="11" t="s">
        <v>181</v>
      </c>
      <c r="H106" s="12">
        <v>341.43</v>
      </c>
      <c r="I106" s="12">
        <v>336.16</v>
      </c>
      <c r="J106" s="13" t="s">
        <v>244</v>
      </c>
      <c r="K106" s="5" t="s">
        <v>354</v>
      </c>
      <c r="L106" s="5" t="s">
        <v>404</v>
      </c>
      <c r="M106" s="5" t="s">
        <v>402</v>
      </c>
      <c r="N106" s="9">
        <f>37</f>
        <v>37</v>
      </c>
      <c r="O106" s="33"/>
      <c r="P106" s="33" t="s">
        <v>511</v>
      </c>
    </row>
    <row r="107" spans="1:16" ht="21" x14ac:dyDescent="0.3">
      <c r="A107" s="19" t="s">
        <v>232</v>
      </c>
      <c r="B107" s="5" t="s">
        <v>14</v>
      </c>
      <c r="C107" s="5" t="s">
        <v>53</v>
      </c>
      <c r="D107" s="5" t="s">
        <v>54</v>
      </c>
      <c r="E107" s="5" t="s">
        <v>12</v>
      </c>
      <c r="F107" s="11" t="s">
        <v>238</v>
      </c>
      <c r="G107" s="11" t="s">
        <v>300</v>
      </c>
      <c r="H107" s="16">
        <v>363.33</v>
      </c>
      <c r="I107" s="12">
        <v>358.9</v>
      </c>
      <c r="J107" s="25" t="s">
        <v>28</v>
      </c>
      <c r="K107" s="28" t="s">
        <v>330</v>
      </c>
      <c r="L107" s="5" t="s">
        <v>494</v>
      </c>
      <c r="M107" s="5" t="s">
        <v>495</v>
      </c>
      <c r="N107" s="9">
        <v>35</v>
      </c>
      <c r="O107" s="33"/>
      <c r="P107" s="33" t="s">
        <v>511</v>
      </c>
    </row>
    <row r="108" spans="1:16" ht="21" x14ac:dyDescent="0.3">
      <c r="A108" s="15" t="s">
        <v>182</v>
      </c>
      <c r="B108" t="s">
        <v>14</v>
      </c>
      <c r="C108" t="s">
        <v>8</v>
      </c>
      <c r="D108" t="s">
        <v>9</v>
      </c>
      <c r="E108" t="s">
        <v>29</v>
      </c>
      <c r="F108" s="4" t="s">
        <v>183</v>
      </c>
      <c r="G108" s="24" t="s">
        <v>184</v>
      </c>
      <c r="H108" s="16">
        <v>317.86</v>
      </c>
      <c r="I108" s="16">
        <v>312.45999999999998</v>
      </c>
      <c r="J108" s="17" t="s">
        <v>257</v>
      </c>
      <c r="K108" s="5" t="s">
        <v>346</v>
      </c>
      <c r="L108" s="5" t="s">
        <v>496</v>
      </c>
      <c r="M108" s="5" t="s">
        <v>497</v>
      </c>
      <c r="N108" s="9">
        <v>39</v>
      </c>
      <c r="O108" s="33" t="s">
        <v>511</v>
      </c>
      <c r="P108" s="33" t="s">
        <v>511</v>
      </c>
    </row>
    <row r="109" spans="1:16" ht="28.8" x14ac:dyDescent="0.3">
      <c r="A109" s="10" t="s">
        <v>185</v>
      </c>
      <c r="B109" s="5" t="s">
        <v>14</v>
      </c>
      <c r="C109" s="5" t="s">
        <v>8</v>
      </c>
      <c r="D109" s="5" t="s">
        <v>10</v>
      </c>
      <c r="E109" s="5" t="s">
        <v>23</v>
      </c>
      <c r="F109" s="11" t="s">
        <v>186</v>
      </c>
      <c r="G109" s="11" t="s">
        <v>301</v>
      </c>
      <c r="H109" s="12">
        <v>325.76</v>
      </c>
      <c r="I109" s="12">
        <v>323.2</v>
      </c>
      <c r="J109" s="13" t="s">
        <v>233</v>
      </c>
      <c r="K109" s="5" t="s">
        <v>316</v>
      </c>
      <c r="L109" s="5" t="s">
        <v>411</v>
      </c>
      <c r="M109" s="5" t="s">
        <v>412</v>
      </c>
      <c r="N109" s="9">
        <f>38</f>
        <v>38</v>
      </c>
      <c r="O109" s="33" t="s">
        <v>511</v>
      </c>
      <c r="P109" s="33" t="s">
        <v>511</v>
      </c>
    </row>
    <row r="110" spans="1:16" ht="28.8" x14ac:dyDescent="0.3">
      <c r="A110" s="10" t="s">
        <v>187</v>
      </c>
      <c r="B110" s="5" t="s">
        <v>14</v>
      </c>
      <c r="C110" s="5" t="s">
        <v>8</v>
      </c>
      <c r="D110" s="5" t="s">
        <v>10</v>
      </c>
      <c r="E110" s="5" t="s">
        <v>23</v>
      </c>
      <c r="F110" s="11" t="s">
        <v>353</v>
      </c>
      <c r="G110" s="11" t="s">
        <v>301</v>
      </c>
      <c r="H110" s="12">
        <v>325.76</v>
      </c>
      <c r="I110" s="12">
        <v>323.2</v>
      </c>
      <c r="J110" s="13" t="s">
        <v>233</v>
      </c>
      <c r="K110" s="5" t="s">
        <v>316</v>
      </c>
      <c r="L110" s="5" t="s">
        <v>411</v>
      </c>
      <c r="M110" s="5" t="s">
        <v>412</v>
      </c>
      <c r="N110" s="9">
        <f>38</f>
        <v>38</v>
      </c>
      <c r="O110" s="33" t="s">
        <v>511</v>
      </c>
      <c r="P110" s="33"/>
    </row>
    <row r="111" spans="1:16" ht="28.8" x14ac:dyDescent="0.3">
      <c r="A111" s="10" t="s">
        <v>188</v>
      </c>
      <c r="B111" s="5" t="s">
        <v>14</v>
      </c>
      <c r="C111" s="5" t="s">
        <v>8</v>
      </c>
      <c r="D111" s="5" t="s">
        <v>9</v>
      </c>
      <c r="E111" s="5" t="s">
        <v>29</v>
      </c>
      <c r="F111" s="11" t="s">
        <v>189</v>
      </c>
      <c r="G111" s="11" t="s">
        <v>226</v>
      </c>
      <c r="H111" s="12">
        <v>317.86</v>
      </c>
      <c r="I111" s="12">
        <v>312.45999999999998</v>
      </c>
      <c r="J111" s="13" t="s">
        <v>310</v>
      </c>
      <c r="K111" s="5" t="s">
        <v>345</v>
      </c>
      <c r="L111" s="5" t="s">
        <v>498</v>
      </c>
      <c r="M111" s="5" t="s">
        <v>403</v>
      </c>
      <c r="N111" s="9">
        <v>39</v>
      </c>
      <c r="O111" s="33" t="s">
        <v>511</v>
      </c>
      <c r="P111" s="33" t="s">
        <v>511</v>
      </c>
    </row>
    <row r="112" spans="1:16" ht="43.2" x14ac:dyDescent="0.3">
      <c r="A112" s="19" t="s">
        <v>190</v>
      </c>
      <c r="B112" s="5" t="s">
        <v>14</v>
      </c>
      <c r="C112" s="5" t="s">
        <v>8</v>
      </c>
      <c r="D112" s="5" t="s">
        <v>10</v>
      </c>
      <c r="E112" s="5" t="s">
        <v>18</v>
      </c>
      <c r="F112" s="11" t="s">
        <v>235</v>
      </c>
      <c r="G112" s="14" t="s">
        <v>191</v>
      </c>
      <c r="H112" s="12">
        <v>346.7</v>
      </c>
      <c r="I112" s="12">
        <v>330.9</v>
      </c>
      <c r="J112" s="13" t="s">
        <v>18</v>
      </c>
      <c r="K112" s="5" t="s">
        <v>352</v>
      </c>
      <c r="L112" s="5" t="s">
        <v>399</v>
      </c>
      <c r="M112" s="5" t="s">
        <v>400</v>
      </c>
      <c r="N112" s="9">
        <f>37</f>
        <v>37</v>
      </c>
      <c r="O112" s="33"/>
      <c r="P112" s="33" t="s">
        <v>511</v>
      </c>
    </row>
    <row r="113" spans="1:16" ht="28.8" x14ac:dyDescent="0.3">
      <c r="A113" s="10" t="s">
        <v>192</v>
      </c>
      <c r="B113" s="5" t="s">
        <v>14</v>
      </c>
      <c r="C113" s="5" t="s">
        <v>8</v>
      </c>
      <c r="D113" s="5" t="s">
        <v>10</v>
      </c>
      <c r="E113" s="5" t="s">
        <v>23</v>
      </c>
      <c r="F113" s="11" t="s">
        <v>118</v>
      </c>
      <c r="G113" s="11" t="s">
        <v>227</v>
      </c>
      <c r="H113" s="12">
        <v>330.9</v>
      </c>
      <c r="I113" s="12">
        <v>328.33</v>
      </c>
      <c r="J113" s="13" t="s">
        <v>269</v>
      </c>
      <c r="K113" s="5" t="s">
        <v>317</v>
      </c>
      <c r="L113" s="5" t="s">
        <v>453</v>
      </c>
      <c r="M113" s="5" t="s">
        <v>454</v>
      </c>
      <c r="N113" s="9">
        <f>38</f>
        <v>38</v>
      </c>
      <c r="O113" s="33" t="s">
        <v>511</v>
      </c>
      <c r="P113" s="33" t="s">
        <v>511</v>
      </c>
    </row>
    <row r="114" spans="1:16" ht="21" x14ac:dyDescent="0.3">
      <c r="A114" s="15" t="s">
        <v>193</v>
      </c>
      <c r="B114" s="29" t="s">
        <v>14</v>
      </c>
      <c r="C114" s="29" t="s">
        <v>8</v>
      </c>
      <c r="D114" s="29" t="s">
        <v>10</v>
      </c>
      <c r="E114" s="29" t="s">
        <v>23</v>
      </c>
      <c r="F114" s="30" t="s">
        <v>94</v>
      </c>
      <c r="G114" s="30" t="s">
        <v>302</v>
      </c>
      <c r="H114" s="12">
        <v>325.76</v>
      </c>
      <c r="I114" s="12">
        <v>323.2</v>
      </c>
      <c r="J114" s="13" t="s">
        <v>233</v>
      </c>
      <c r="K114" s="5" t="s">
        <v>316</v>
      </c>
      <c r="L114" s="5" t="s">
        <v>411</v>
      </c>
      <c r="M114" s="5" t="s">
        <v>412</v>
      </c>
      <c r="N114" s="9">
        <f>38</f>
        <v>38</v>
      </c>
      <c r="O114" s="33" t="s">
        <v>511</v>
      </c>
      <c r="P114" s="33" t="s">
        <v>511</v>
      </c>
    </row>
    <row r="115" spans="1:16" x14ac:dyDescent="0.3">
      <c r="N115" s="31"/>
    </row>
    <row r="116" spans="1:16" x14ac:dyDescent="0.3">
      <c r="F116" s="4"/>
    </row>
  </sheetData>
  <hyperlinks>
    <hyperlink ref="K107" r:id="rId1" display="https://geohack.toolforge.org/geohack.php?pagename=Cleveland_Shale&amp;params=39.4_N_83.6_W_" xr:uid="{7F7B9B26-ECD7-4D69-B373-9BBBEE41B87C}"/>
  </hyperlinks>
  <pageMargins left="0.7" right="0.7" top="0.75" bottom="0.75" header="0.3" footer="0.3"/>
  <pageSetup paperSize="9" orientation="portrait" horizontalDpi="360" verticalDpi="36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Species 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Vanhaesebroucke</dc:creator>
  <cp:lastModifiedBy>Olivia Vanhaesebroucke</cp:lastModifiedBy>
  <cp:lastPrinted>2024-09-27T11:52:11Z</cp:lastPrinted>
  <dcterms:created xsi:type="dcterms:W3CDTF">2024-01-11T20:47:44Z</dcterms:created>
  <dcterms:modified xsi:type="dcterms:W3CDTF">2025-11-12T16:42:57Z</dcterms:modified>
</cp:coreProperties>
</file>