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olivi\Documents\UQAR\DOC\Redaction-Articles-These\Article_1_Actinopterygian_disparity\Analyses-finales\"/>
    </mc:Choice>
  </mc:AlternateContent>
  <xr:revisionPtr revIDLastSave="0" documentId="13_ncr:1_{D6FBFCC0-7B50-427A-8FAA-7E57132F5D1B}" xr6:coauthVersionLast="47" xr6:coauthVersionMax="47" xr10:uidLastSave="{00000000-0000-0000-0000-000000000000}"/>
  <bookViews>
    <workbookView xWindow="-108" yWindow="-108" windowWidth="23256" windowHeight="12576" xr2:uid="{619825B8-0BBA-444D-9667-6BCBAECE4CB0}"/>
  </bookViews>
  <sheets>
    <sheet name="Species ag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6" i="1" l="1"/>
  <c r="N7" i="1"/>
  <c r="N35" i="1"/>
  <c r="N34" i="1"/>
  <c r="N33" i="1"/>
  <c r="N32" i="1"/>
  <c r="N31" i="1"/>
  <c r="N30" i="1"/>
  <c r="N29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N13" i="1"/>
  <c r="N12" i="1"/>
  <c r="N11" i="1"/>
  <c r="N10" i="1"/>
  <c r="N9" i="1"/>
  <c r="N8" i="1"/>
  <c r="N3" i="1"/>
  <c r="N2" i="1"/>
</calcChain>
</file>

<file path=xl/sharedStrings.xml><?xml version="1.0" encoding="utf-8"?>
<sst xmlns="http://schemas.openxmlformats.org/spreadsheetml/2006/main" count="388" uniqueCount="136">
  <si>
    <t>Species</t>
  </si>
  <si>
    <t>Class</t>
  </si>
  <si>
    <t>Periode</t>
  </si>
  <si>
    <t>Epoque</t>
  </si>
  <si>
    <t>Age</t>
  </si>
  <si>
    <t>Formation/Country</t>
  </si>
  <si>
    <t>Ref</t>
  </si>
  <si>
    <t>Notes</t>
  </si>
  <si>
    <t>Carboniferous</t>
  </si>
  <si>
    <t>Mississippian</t>
  </si>
  <si>
    <t>Actinopterygian</t>
  </si>
  <si>
    <t>Adroichthys tuberculatus</t>
  </si>
  <si>
    <t>Viséan</t>
  </si>
  <si>
    <t>Aestuarichthys fulcratus</t>
  </si>
  <si>
    <t>Australichthys longidorsalis</t>
  </si>
  <si>
    <t>Benedenius deneensis</t>
  </si>
  <si>
    <t>Molignée, Belgium</t>
  </si>
  <si>
    <t>Benedenius soreili</t>
  </si>
  <si>
    <t>Canobius elegantulus</t>
  </si>
  <si>
    <t>Glencartholm, Dumfries and Galloway, Scotland</t>
  </si>
  <si>
    <t>Canobius ramsayi</t>
  </si>
  <si>
    <t>Cheirodopsis geikiei</t>
  </si>
  <si>
    <t>Cosmoptychius striatus</t>
  </si>
  <si>
    <t>Wardie, Scotland</t>
  </si>
  <si>
    <r>
      <t xml:space="preserve">Dineley et Metclaf 1999 ; Gardiner 1963; </t>
    </r>
    <r>
      <rPr>
        <sz val="11"/>
        <color rgb="FFFF0000"/>
        <rFont val="Aptos Narrow"/>
        <family val="2"/>
        <scheme val="minor"/>
      </rPr>
      <t>Watson 1928</t>
    </r>
  </si>
  <si>
    <t>Cycloptychius concentricus</t>
  </si>
  <si>
    <t>Elonichthys robisoni</t>
  </si>
  <si>
    <t>Elonichthys serratus</t>
  </si>
  <si>
    <t>Gonatodus punctatus</t>
  </si>
  <si>
    <t>Holurus parki</t>
  </si>
  <si>
    <t>Mentzichthys jubbi</t>
  </si>
  <si>
    <t>Mesopoma crassum</t>
  </si>
  <si>
    <t>Mesopoma politum</t>
  </si>
  <si>
    <t>Mesopoma pulchellum</t>
  </si>
  <si>
    <t>Notacmon crenatus</t>
  </si>
  <si>
    <t>Shales Member of the Gullane Formation, Wardie, Scotland</t>
  </si>
  <si>
    <t>Paramesolepis rhombus</t>
  </si>
  <si>
    <t>Paramesolepis tuberculatus</t>
  </si>
  <si>
    <t>Phanerosteon mirabile</t>
  </si>
  <si>
    <t>Platysomus superbus</t>
  </si>
  <si>
    <t>Rhadinichthys canobiensis</t>
  </si>
  <si>
    <t>Rhadinichthys fusiformis</t>
  </si>
  <si>
    <r>
      <t>Moy-Thomas and Dyne 1938 ;</t>
    </r>
    <r>
      <rPr>
        <sz val="11"/>
        <color rgb="FFFF0000"/>
        <rFont val="Aptos Narrow"/>
        <family val="2"/>
        <scheme val="minor"/>
      </rPr>
      <t xml:space="preserve"> Traquair 1881</t>
    </r>
  </si>
  <si>
    <t>Rhadinichthys ornatissimus</t>
  </si>
  <si>
    <t>Scotland: Dunnet shale (calciferous sandstone series) of Straiton</t>
  </si>
  <si>
    <t>Styracopterus fulcratus</t>
  </si>
  <si>
    <t>Glencartholm, Dumfries and Galloway, Scotland; East European Plateform, Russia</t>
  </si>
  <si>
    <t>Sundayichthys elegantulus</t>
  </si>
  <si>
    <t>Tarrasius problematicus</t>
  </si>
  <si>
    <t>Calciferous Sandstone Series, Glencartholm, Langholm, Dumfriesshire, Scotland</t>
  </si>
  <si>
    <r>
      <t xml:space="preserve">Lund and Poplin 2002; </t>
    </r>
    <r>
      <rPr>
        <sz val="11"/>
        <color rgb="FFFF0000"/>
        <rFont val="Aptos Narrow"/>
        <family val="2"/>
        <scheme val="minor"/>
      </rPr>
      <t>Traquair 1881</t>
    </r>
  </si>
  <si>
    <t>Willomorichthys striatulus</t>
  </si>
  <si>
    <t xml:space="preserve">Gardiner 1969 </t>
  </si>
  <si>
    <r>
      <t xml:space="preserve">Schultze </t>
    </r>
    <r>
      <rPr>
        <i/>
        <sz val="11"/>
        <color theme="1"/>
        <rFont val="Aptos Narrow"/>
        <family val="2"/>
        <scheme val="minor"/>
      </rPr>
      <t>et al</t>
    </r>
    <r>
      <rPr>
        <sz val="11"/>
        <color theme="1"/>
        <rFont val="Aptos Narrow"/>
        <family val="2"/>
        <scheme val="minor"/>
      </rPr>
      <t xml:space="preserve">. 2021 ; </t>
    </r>
    <r>
      <rPr>
        <sz val="11"/>
        <color rgb="FFFF0000"/>
        <rFont val="Aptos Narrow"/>
        <family val="2"/>
        <scheme val="minor"/>
      </rPr>
      <t>Gardiner 1969</t>
    </r>
  </si>
  <si>
    <r>
      <t xml:space="preserve">Mottequin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 xml:space="preserve"> 2015; </t>
    </r>
    <r>
      <rPr>
        <sz val="11"/>
        <color rgb="FFFF0000"/>
        <rFont val="Aptos Narrow"/>
        <family val="2"/>
        <scheme val="minor"/>
      </rPr>
      <t>Traquair 1877</t>
    </r>
  </si>
  <si>
    <r>
      <t xml:space="preserve">Mottequin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 xml:space="preserve"> 2015;</t>
    </r>
    <r>
      <rPr>
        <sz val="11"/>
        <color rgb="FFFF0000"/>
        <rFont val="Aptos Narrow"/>
        <family val="2"/>
        <scheme val="minor"/>
      </rPr>
      <t xml:space="preserve"> Fraipont 1890</t>
    </r>
  </si>
  <si>
    <r>
      <t xml:space="preserve">Schultze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 xml:space="preserve"> 2021 ; Moy-Thomas and Dyne 1938; Wood 1982;</t>
    </r>
    <r>
      <rPr>
        <sz val="11"/>
        <color rgb="FFFF0000"/>
        <rFont val="Aptos Narrow"/>
        <family val="2"/>
        <scheme val="minor"/>
      </rPr>
      <t xml:space="preserve"> Traquair 1881</t>
    </r>
  </si>
  <si>
    <r>
      <t xml:space="preserve">Schultze </t>
    </r>
    <r>
      <rPr>
        <i/>
        <sz val="11"/>
        <color theme="1"/>
        <rFont val="Aptos Narrow"/>
        <family val="2"/>
        <scheme val="minor"/>
      </rPr>
      <t xml:space="preserve">et al. </t>
    </r>
    <r>
      <rPr>
        <sz val="11"/>
        <color theme="1"/>
        <rFont val="Aptos Narrow"/>
        <family val="2"/>
        <scheme val="minor"/>
      </rPr>
      <t xml:space="preserve">2021 ; Traquair 1901; </t>
    </r>
    <r>
      <rPr>
        <sz val="11"/>
        <color rgb="FFFF0000"/>
        <rFont val="Aptos Narrow"/>
        <family val="2"/>
        <scheme val="minor"/>
      </rPr>
      <t>Hibbert 1835</t>
    </r>
  </si>
  <si>
    <r>
      <t xml:space="preserve">Schultze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 xml:space="preserve"> 2021 ; </t>
    </r>
    <r>
      <rPr>
        <sz val="11"/>
        <color rgb="FFFF0000"/>
        <rFont val="Aptos Narrow"/>
        <family val="2"/>
        <scheme val="minor"/>
      </rPr>
      <t>Gardiner 1969</t>
    </r>
  </si>
  <si>
    <r>
      <t>Schultze</t>
    </r>
    <r>
      <rPr>
        <i/>
        <sz val="11"/>
        <color theme="1"/>
        <rFont val="Aptos Narrow"/>
        <family val="2"/>
        <scheme val="minor"/>
      </rPr>
      <t xml:space="preserve"> et al.</t>
    </r>
    <r>
      <rPr>
        <sz val="11"/>
        <color theme="1"/>
        <rFont val="Aptos Narrow"/>
        <family val="2"/>
        <scheme val="minor"/>
      </rPr>
      <t xml:space="preserve"> 2021 ;</t>
    </r>
    <r>
      <rPr>
        <sz val="11"/>
        <color rgb="FFFF0000"/>
        <rFont val="Aptos Narrow"/>
        <family val="2"/>
        <scheme val="minor"/>
      </rPr>
      <t xml:space="preserve"> Traquair 1881</t>
    </r>
  </si>
  <si>
    <r>
      <t xml:space="preserve">Schultze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 xml:space="preserve"> 2021; </t>
    </r>
    <r>
      <rPr>
        <sz val="11"/>
        <color rgb="FFFF0000"/>
        <rFont val="Aptos Narrow"/>
        <family val="2"/>
        <scheme val="minor"/>
      </rPr>
      <t>Traquair 1881</t>
    </r>
  </si>
  <si>
    <r>
      <t xml:space="preserve">Schultze </t>
    </r>
    <r>
      <rPr>
        <i/>
        <sz val="11"/>
        <color theme="1"/>
        <rFont val="Aptos Narrow"/>
        <family val="2"/>
        <scheme val="minor"/>
      </rPr>
      <t xml:space="preserve">et al. </t>
    </r>
    <r>
      <rPr>
        <sz val="11"/>
        <color theme="1"/>
        <rFont val="Aptos Narrow"/>
        <family val="2"/>
        <scheme val="minor"/>
      </rPr>
      <t xml:space="preserve">2021 ; Friedman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 xml:space="preserve"> 2018; </t>
    </r>
    <r>
      <rPr>
        <sz val="11"/>
        <color rgb="FFFF0000"/>
        <rFont val="Aptos Narrow"/>
        <family val="2"/>
        <scheme val="minor"/>
      </rPr>
      <t>Agassiz 1835</t>
    </r>
  </si>
  <si>
    <r>
      <t xml:space="preserve">Schultze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 xml:space="preserve"> 2021 ; Traquair 1912; </t>
    </r>
    <r>
      <rPr>
        <sz val="11"/>
        <color rgb="FFFF0000"/>
        <rFont val="Aptos Narrow"/>
        <family val="2"/>
        <scheme val="minor"/>
      </rPr>
      <t>Traquair 1881</t>
    </r>
  </si>
  <si>
    <r>
      <t xml:space="preserve">Schultze </t>
    </r>
    <r>
      <rPr>
        <i/>
        <sz val="11"/>
        <color theme="1"/>
        <rFont val="Aptos Narrow"/>
        <family val="2"/>
        <scheme val="minor"/>
      </rPr>
      <t xml:space="preserve">et al. </t>
    </r>
    <r>
      <rPr>
        <sz val="11"/>
        <color theme="1"/>
        <rFont val="Aptos Narrow"/>
        <family val="2"/>
        <scheme val="minor"/>
      </rPr>
      <t xml:space="preserve">2021 ; </t>
    </r>
    <r>
      <rPr>
        <sz val="11"/>
        <color rgb="FFFF0000"/>
        <rFont val="Aptos Narrow"/>
        <family val="2"/>
        <scheme val="minor"/>
      </rPr>
      <t>Gardiner 1969</t>
    </r>
  </si>
  <si>
    <t>Upper Witteberg Series, Waaipoort formation (Lake Mentz), Western Cape Province, South Africa</t>
  </si>
  <si>
    <t>Middle Viséan</t>
  </si>
  <si>
    <t>Glencartholm volcanic member, Scotland</t>
  </si>
  <si>
    <t>Middle Viséan ; Synonymy Mesopoma fusiforme</t>
  </si>
  <si>
    <t>Wardie Shales, Forth Bassin (Beds 2-7), Scotland</t>
  </si>
  <si>
    <t>Holkerian-Asbian = Middle Viséan</t>
  </si>
  <si>
    <t>Early Viséan</t>
  </si>
  <si>
    <r>
      <t xml:space="preserve">Friedman </t>
    </r>
    <r>
      <rPr>
        <i/>
        <sz val="11"/>
        <rFont val="Aptos Narrow"/>
        <family val="2"/>
        <scheme val="minor"/>
      </rPr>
      <t xml:space="preserve">et al. </t>
    </r>
    <r>
      <rPr>
        <sz val="11"/>
        <rFont val="Aptos Narrow"/>
        <family val="2"/>
        <scheme val="minor"/>
      </rPr>
      <t>2018</t>
    </r>
  </si>
  <si>
    <r>
      <t xml:space="preserve">Schultze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 xml:space="preserve"> 2021 ; Moy-Thomas and Dyne 1938; Wood 1982; </t>
    </r>
    <r>
      <rPr>
        <sz val="11"/>
        <color rgb="FFFF0000"/>
        <rFont val="Aptos Narrow"/>
        <family val="2"/>
        <scheme val="minor"/>
      </rPr>
      <t>Traquair 1881</t>
    </r>
  </si>
  <si>
    <r>
      <t xml:space="preserve">Schultze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 xml:space="preserve"> 2021 ; Moy-Thomas and Dyne 1938; </t>
    </r>
    <r>
      <rPr>
        <sz val="11"/>
        <color rgb="FFFF0000"/>
        <rFont val="Aptos Narrow"/>
        <family val="2"/>
        <scheme val="minor"/>
      </rPr>
      <t>Traquair 1881</t>
    </r>
  </si>
  <si>
    <r>
      <t xml:space="preserve">Schultze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 xml:space="preserve"> 2021 ; Gardiner 1967;</t>
    </r>
    <r>
      <rPr>
        <sz val="11"/>
        <color rgb="FFFF0000"/>
        <rFont val="Aptos Narrow"/>
        <family val="2"/>
        <scheme val="minor"/>
      </rPr>
      <t xml:space="preserve"> Traquair 1877</t>
    </r>
  </si>
  <si>
    <r>
      <t xml:space="preserve">Schultze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 xml:space="preserve"> 2021 ; Moy-Thomas and Dyne 1938;</t>
    </r>
    <r>
      <rPr>
        <sz val="11"/>
        <color rgb="FFFF0000"/>
        <rFont val="Aptos Narrow"/>
        <family val="2"/>
        <scheme val="minor"/>
      </rPr>
      <t xml:space="preserve"> Traquair 1913</t>
    </r>
  </si>
  <si>
    <r>
      <t xml:space="preserve">Schultze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 xml:space="preserve"> 2021 ; Moy-Thomas and Dyne 1938;</t>
    </r>
    <r>
      <rPr>
        <sz val="11"/>
        <color rgb="FFFF0000"/>
        <rFont val="Aptos Narrow"/>
        <family val="2"/>
        <scheme val="minor"/>
      </rPr>
      <t xml:space="preserve"> Traquair 1890</t>
    </r>
  </si>
  <si>
    <r>
      <t xml:space="preserve">Schultze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 xml:space="preserve"> 2021 ; Moy-Thomas and Dyne 1938; </t>
    </r>
    <r>
      <rPr>
        <sz val="11"/>
        <color rgb="FFFF0000"/>
        <rFont val="Aptos Narrow"/>
        <family val="2"/>
        <scheme val="minor"/>
      </rPr>
      <t>Traquair 1890</t>
    </r>
  </si>
  <si>
    <r>
      <t xml:space="preserve">Schultze </t>
    </r>
    <r>
      <rPr>
        <i/>
        <sz val="11"/>
        <color theme="1"/>
        <rFont val="Aptos Narrow"/>
        <family val="2"/>
        <scheme val="minor"/>
      </rPr>
      <t>et al</t>
    </r>
    <r>
      <rPr>
        <sz val="11"/>
        <color theme="1"/>
        <rFont val="Aptos Narrow"/>
        <family val="2"/>
        <scheme val="minor"/>
      </rPr>
      <t>. 2021 ; Moy-Thomas and Dyne 1938;</t>
    </r>
    <r>
      <rPr>
        <sz val="11"/>
        <color rgb="FFFF0000"/>
        <rFont val="Aptos Narrow"/>
        <family val="2"/>
        <scheme val="minor"/>
      </rPr>
      <t xml:space="preserve"> Traquair 1881</t>
    </r>
  </si>
  <si>
    <r>
      <t>Schultze</t>
    </r>
    <r>
      <rPr>
        <i/>
        <sz val="11"/>
        <color theme="1"/>
        <rFont val="Aptos Narrow"/>
        <family val="2"/>
        <scheme val="minor"/>
      </rPr>
      <t xml:space="preserve"> et al.</t>
    </r>
    <r>
      <rPr>
        <sz val="11"/>
        <color theme="1"/>
        <rFont val="Aptos Narrow"/>
        <family val="2"/>
        <scheme val="minor"/>
      </rPr>
      <t xml:space="preserve"> 2021 ; Moy-Thomas and Dyne 1938; </t>
    </r>
    <r>
      <rPr>
        <sz val="11"/>
        <color rgb="FFFF0000"/>
        <rFont val="Aptos Narrow"/>
        <family val="2"/>
        <scheme val="minor"/>
      </rPr>
      <t>Traquair 1909</t>
    </r>
  </si>
  <si>
    <r>
      <t xml:space="preserve">Schultze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 xml:space="preserve"> 2021 ; Traquair 1911 ; Brindley and Spinner 1989; </t>
    </r>
    <r>
      <rPr>
        <sz val="11"/>
        <color rgb="FFFF0000"/>
        <rFont val="Aptos Narrow"/>
        <family val="2"/>
        <scheme val="minor"/>
      </rPr>
      <t>Agassiz 1835</t>
    </r>
  </si>
  <si>
    <r>
      <t xml:space="preserve">Schultze </t>
    </r>
    <r>
      <rPr>
        <i/>
        <sz val="11"/>
        <color theme="1"/>
        <rFont val="Aptos Narrow"/>
        <family val="2"/>
        <scheme val="minor"/>
      </rPr>
      <t xml:space="preserve">et al. </t>
    </r>
    <r>
      <rPr>
        <sz val="11"/>
        <color theme="1"/>
        <rFont val="Aptos Narrow"/>
        <family val="2"/>
        <scheme val="minor"/>
      </rPr>
      <t xml:space="preserve">2021 ; Sallan 2013; </t>
    </r>
    <r>
      <rPr>
        <sz val="11"/>
        <color rgb="FFFF0000"/>
        <rFont val="Aptos Narrow"/>
        <family val="2"/>
        <scheme val="minor"/>
      </rPr>
      <t>Traquair 1881</t>
    </r>
  </si>
  <si>
    <r>
      <t xml:space="preserve">Friedman </t>
    </r>
    <r>
      <rPr>
        <i/>
        <sz val="11"/>
        <rFont val="Aptos Narrow"/>
        <family val="2"/>
        <scheme val="minor"/>
      </rPr>
      <t>et al.</t>
    </r>
    <r>
      <rPr>
        <sz val="11"/>
        <rFont val="Aptos Narrow"/>
        <family val="2"/>
        <scheme val="minor"/>
      </rPr>
      <t xml:space="preserve"> 2018</t>
    </r>
  </si>
  <si>
    <t>Holkerian (Sallan 2013)</t>
  </si>
  <si>
    <t>Precise localisation</t>
  </si>
  <si>
    <t>50.3186° N, 4.7522° E</t>
  </si>
  <si>
    <t xml:space="preserve"> - 33.16435, 25.18190</t>
  </si>
  <si>
    <t>55.15262, -3.00034</t>
  </si>
  <si>
    <t>Glencartholm, Eksdale, Dumfries and Galloway, Scotland</t>
  </si>
  <si>
    <t>55.18998, -3.06666</t>
  </si>
  <si>
    <t>55.98060, -3.21109</t>
  </si>
  <si>
    <t>55.88428, -3.16631</t>
  </si>
  <si>
    <t>max_ma</t>
  </si>
  <si>
    <t>min_ma</t>
  </si>
  <si>
    <t>55.18998</t>
  </si>
  <si>
    <t xml:space="preserve"> 25.18190</t>
  </si>
  <si>
    <t>55.15262</t>
  </si>
  <si>
    <t xml:space="preserve"> -3.00034</t>
  </si>
  <si>
    <t>25.1819</t>
  </si>
  <si>
    <t>-33.16435</t>
  </si>
  <si>
    <t>4.7522</t>
  </si>
  <si>
    <t>50.3186</t>
  </si>
  <si>
    <t>-3.06666</t>
  </si>
  <si>
    <t>-3.21109</t>
  </si>
  <si>
    <t>55.9806</t>
  </si>
  <si>
    <t>3.06666</t>
  </si>
  <si>
    <t>-3.16631</t>
  </si>
  <si>
    <t>55.88428</t>
  </si>
  <si>
    <t>lng</t>
  </si>
  <si>
    <t>lat</t>
  </si>
  <si>
    <t>Time_bin</t>
  </si>
  <si>
    <t xml:space="preserve"> -33.16435</t>
  </si>
  <si>
    <t>Aetheretmon valentiacum</t>
  </si>
  <si>
    <t>Tournaisian</t>
  </si>
  <si>
    <t>Foulden, Scotland; east European plateform, Turaŭ, Belarus</t>
  </si>
  <si>
    <t>55.79436, -2.10661 and 52.06715, 27.74177</t>
  </si>
  <si>
    <t>-2.10661</t>
  </si>
  <si>
    <t>55.79436</t>
  </si>
  <si>
    <t>Aetheretmon valentiacum*</t>
  </si>
  <si>
    <t xml:space="preserve"> 27.74177</t>
  </si>
  <si>
    <t>52.06715</t>
  </si>
  <si>
    <r>
      <t>Schultze</t>
    </r>
    <r>
      <rPr>
        <i/>
        <sz val="11"/>
        <color theme="1"/>
        <rFont val="Aptos Narrow"/>
        <family val="2"/>
        <scheme val="minor"/>
      </rPr>
      <t xml:space="preserve"> et al.</t>
    </r>
    <r>
      <rPr>
        <sz val="11"/>
        <color theme="1"/>
        <rFont val="Aptos Narrow"/>
        <family val="2"/>
        <scheme val="minor"/>
      </rPr>
      <t xml:space="preserve"> 2021 ; </t>
    </r>
    <r>
      <rPr>
        <sz val="11"/>
        <color rgb="FFFF0000"/>
        <rFont val="Aptos Narrow"/>
        <family val="2"/>
        <scheme val="minor"/>
      </rPr>
      <t>White 1927</t>
    </r>
  </si>
  <si>
    <r>
      <t xml:space="preserve">Late Tournaisian - Early Viséan (Esin </t>
    </r>
    <r>
      <rPr>
        <i/>
        <sz val="11"/>
        <rFont val="Aptos Narrow"/>
        <family val="2"/>
        <scheme val="minor"/>
      </rPr>
      <t>et al.</t>
    </r>
    <r>
      <rPr>
        <sz val="11"/>
        <rFont val="Aptos Narrow"/>
        <family val="2"/>
        <scheme val="minor"/>
      </rPr>
      <t xml:space="preserve"> 2000)</t>
    </r>
  </si>
  <si>
    <t>Elonichthys pulcherrimus</t>
  </si>
  <si>
    <t xml:space="preserve">Devonian </t>
  </si>
  <si>
    <t xml:space="preserve">Upper Devonian </t>
  </si>
  <si>
    <t>Famennian</t>
  </si>
  <si>
    <t>Glencartholm, Dumfries and Galloway (scotland); Borov and Rubchan Beds of the Polese Regional Stage</t>
  </si>
  <si>
    <r>
      <t xml:space="preserve">Schultze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 xml:space="preserve"> 2021 ; Moy-Thomas and Dyne 1938;</t>
    </r>
    <r>
      <rPr>
        <sz val="11"/>
        <color rgb="FFFF0000"/>
        <rFont val="Aptos Narrow"/>
        <family val="2"/>
        <scheme val="minor"/>
      </rPr>
      <t xml:space="preserve"> Traquair 1881</t>
    </r>
  </si>
  <si>
    <r>
      <t xml:space="preserve">Late Famennian, Late Tournaisian-Early Viséan (Esin </t>
    </r>
    <r>
      <rPr>
        <i/>
        <sz val="11"/>
        <rFont val="Aptos Narrow"/>
        <family val="2"/>
        <scheme val="minor"/>
      </rPr>
      <t>et al.</t>
    </r>
    <r>
      <rPr>
        <sz val="11"/>
        <rFont val="Aptos Narrow"/>
        <family val="2"/>
        <scheme val="minor"/>
      </rPr>
      <t xml:space="preserve"> 2000), Middle Viséan</t>
    </r>
  </si>
  <si>
    <t>55.10371, -2.97670 and 52.43302, 30.97606</t>
  </si>
  <si>
    <t>-2.9767</t>
  </si>
  <si>
    <t>55.10371</t>
  </si>
  <si>
    <t>Elonichthys pulcherrimus*</t>
  </si>
  <si>
    <t>30.97606</t>
  </si>
  <si>
    <t>52.43302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</si>
</sst>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0000"/>
  </numFmts>
  <fonts count="7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2"/>
      <color indexed="8"/>
      <name val="Verdana"/>
      <family val="2"/>
    </font>
    <font>
      <i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i/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double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Protection="0">
      <alignment vertical="top" wrapText="1"/>
    </xf>
  </cellStyleXfs>
  <cellXfs count="21"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wrapText="1"/>
    </xf>
    <xf numFmtId="0" fontId="0" fillId="0" borderId="0" xfId="0" applyAlignment="1">
      <alignment vertical="center"/>
    </xf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1" fillId="2" borderId="1" xfId="0" applyFont="1" applyFill="1" applyBorder="1"/>
    <xf numFmtId="1" fontId="0" fillId="0" borderId="0" xfId="0" applyNumberFormat="1"/>
    <xf numFmtId="0" fontId="4" fillId="0" borderId="0" xfId="0" applyFont="1" applyFill="1" applyAlignment="1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Alignment="1">
      <alignment vertical="center" wrapText="1"/>
    </xf>
    <xf numFmtId="0" fontId="5" fillId="0" borderId="0" xfId="0" applyFont="1" applyFill="1" applyAlignment="1">
      <alignment horizontal="center" vertical="center"/>
    </xf>
    <xf numFmtId="0" fontId="5" fillId="0" borderId="0" xfId="0" applyFont="1" applyFill="1" applyAlignment="1">
      <alignment horizontal="left" vertical="center" wrapText="1"/>
    </xf>
    <xf numFmtId="0" fontId="0" fillId="0" borderId="0" xfId="0" applyFill="1"/>
    <xf numFmtId="0" fontId="0" fillId="0" borderId="0" xfId="0" applyFill="1" applyAlignment="1">
      <alignment horizontal="center" vertical="center"/>
    </xf>
    <xf numFmtId="0" fontId="4" fillId="0" borderId="0" xfId="0" applyFont="1" applyFill="1" applyAlignment="1">
      <alignment vertical="center" wrapText="1"/>
    </xf>
    <xf numFmtId="164" fontId="0" fillId="0" borderId="0" xfId="0" applyNumberFormat="1" applyFill="1"/>
    <xf numFmtId="0" fontId="2" fillId="0" borderId="0" xfId="0" applyFont="1" applyFill="1" applyAlignment="1">
      <alignment vertical="center" wrapText="1"/>
    </xf>
  </cellXfs>
  <cellStyles count="2">
    <cellStyle name="Normal" xfId="0" builtinId="0"/>
    <cellStyle name="Normal 2" xfId="1" xr:uid="{E45C9923-C6D8-47DF-8A4E-A8EF906F2704}"/>
  </cellStyles>
  <dxfs count="17">
    <dxf>
      <font>
        <strike val="0"/>
        <outline val="0"/>
        <shadow val="0"/>
        <u val="none"/>
        <vertAlign val="baseline"/>
        <sz val="11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</font>
      <fill>
        <patternFill patternType="none">
          <fgColor indexed="64"/>
          <bgColor auto="1"/>
        </patternFill>
      </fill>
      <alignment horizontal="general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</font>
      <fill>
        <patternFill patternType="none">
          <fgColor indexed="64"/>
          <bgColor auto="1"/>
        </patternFill>
      </fill>
      <alignment horizontal="left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</font>
      <fill>
        <patternFill patternType="none">
          <fgColor indexed="64"/>
          <bgColor auto="1"/>
        </patternFill>
      </fill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</font>
      <fill>
        <patternFill patternType="none">
          <fgColor indexed="64"/>
          <bgColor auto="1"/>
        </patternFill>
      </fill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</font>
      <fill>
        <patternFill patternType="none">
          <fgColor indexed="64"/>
          <bgColor auto="1"/>
        </patternFill>
      </fill>
    </dxf>
    <dxf>
      <border outline="0">
        <bottom style="double">
          <color indexed="64"/>
        </bottom>
      </border>
    </dxf>
    <dxf>
      <font>
        <strike val="0"/>
        <outline val="0"/>
        <shadow val="0"/>
        <u val="none"/>
        <vertAlign val="baseline"/>
        <sz val="11"/>
      </font>
    </dxf>
  </dxfs>
  <tableStyles count="1" defaultTableStyle="TableStyleMedium2" defaultPivotStyle="PivotStyleLight16">
    <tableStyle name="Style de tableau 1" pivot="0" count="0" xr9:uid="{D571ED02-A501-4693-AEE5-13D540688A49}"/>
  </tableStyles>
  <colors>
    <mruColors>
      <color rgb="FFC0E6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28CECD0-F1A8-4CDD-BF36-D8A10E7FCB29}" name="Tableau1" displayName="Tableau1" ref="A1:N35" totalsRowShown="0" headerRowDxfId="16" dataDxfId="0" headerRowBorderDxfId="15">
  <autoFilter ref="A1:N35" xr:uid="{328CECD0-F1A8-4CDD-BF36-D8A10E7FCB29}"/>
  <tableColumns count="14">
    <tableColumn id="1" xr3:uid="{164CC65C-66B1-4C87-A12B-03EF7228A9FB}" name="Species" dataDxfId="14"/>
    <tableColumn id="2" xr3:uid="{BE6EAB61-E7C5-4A97-96EF-685A3481A1B6}" name="Class" dataDxfId="13"/>
    <tableColumn id="3" xr3:uid="{FD5564B4-0B4C-40B0-9A1F-0336F4820C43}" name="Periode" dataDxfId="12"/>
    <tableColumn id="4" xr3:uid="{C210FAE3-5E5D-407E-B6E0-5ECB7F4EFB99}" name="Epoque" dataDxfId="11"/>
    <tableColumn id="5" xr3:uid="{BCFC314F-02D2-436B-8040-6B48ED266381}" name="Age" dataDxfId="10"/>
    <tableColumn id="6" xr3:uid="{C7A7260B-EF17-4D59-9462-5000DA3BEC4F}" name="Formation/Country" dataDxfId="9"/>
    <tableColumn id="7" xr3:uid="{92B0F3A4-41C0-4D1A-B43C-A07A74F4DF20}" name="Ref" dataDxfId="8"/>
    <tableColumn id="8" xr3:uid="{A0BF12E9-0AA7-4F2A-88AB-3EC849F48FBB}" name="max_ma" dataDxfId="7"/>
    <tableColumn id="9" xr3:uid="{01A84E2D-7C4E-4149-8C3B-7400BAC667C2}" name="min_ma" dataDxfId="6"/>
    <tableColumn id="10" xr3:uid="{69A7CDC4-C6EB-4B1D-8CC7-6767880E9598}" name="Notes" dataDxfId="5"/>
    <tableColumn id="12" xr3:uid="{5ADFC761-FA11-42EF-9D8B-9963775DC563}" name="Precise localisation" dataDxfId="4"/>
    <tableColumn id="11" xr3:uid="{9B39024A-F3A6-4F8C-B8B8-2369D2D82768}" name="lng" dataDxfId="3"/>
    <tableColumn id="13" xr3:uid="{4A9FC5DE-162A-4406-A0A5-F390B4C09934}" name="lat" dataDxfId="2"/>
    <tableColumn id="15" xr3:uid="{DC121AA2-E881-4B3C-B040-3436136AE5AE}" name="Time_bin" dataDxfId="1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5CD829-EBCF-4630-88FA-26A00F83F0E1}">
  <dimension ref="A1:N37"/>
  <sheetViews>
    <sheetView tabSelected="1" topLeftCell="F42" zoomScale="82" zoomScaleNormal="70" workbookViewId="0">
      <selection activeCell="O1" sqref="O1:P1048576"/>
    </sheetView>
  </sheetViews>
  <sheetFormatPr baseColWidth="10" defaultRowHeight="14.4" x14ac:dyDescent="0.3"/>
  <cols>
    <col min="1" max="1" width="29.88671875" bestFit="1" customWidth="1"/>
    <col min="2" max="2" width="14.21875" bestFit="1" customWidth="1"/>
    <col min="3" max="3" width="13" bestFit="1" customWidth="1"/>
    <col min="4" max="4" width="15" bestFit="1" customWidth="1"/>
    <col min="5" max="5" width="15.21875" bestFit="1" customWidth="1"/>
    <col min="6" max="6" width="38.88671875" customWidth="1"/>
    <col min="7" max="7" width="34.33203125" customWidth="1"/>
    <col min="8" max="8" width="9.109375" style="8" bestFit="1" customWidth="1"/>
    <col min="9" max="9" width="9" style="8" bestFit="1" customWidth="1"/>
    <col min="10" max="10" width="54.6640625" style="6" customWidth="1"/>
    <col min="11" max="11" width="21.88671875" style="5" customWidth="1"/>
    <col min="12" max="12" width="19.44140625" style="5" customWidth="1"/>
    <col min="13" max="13" width="18.88671875" bestFit="1" customWidth="1"/>
    <col min="14" max="14" width="11.33203125" bestFit="1" customWidth="1"/>
  </cols>
  <sheetData>
    <row r="1" spans="1:14" ht="15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3" t="s">
        <v>92</v>
      </c>
      <c r="I1" s="3" t="s">
        <v>93</v>
      </c>
      <c r="J1" s="7" t="s">
        <v>7</v>
      </c>
      <c r="K1" s="1" t="s">
        <v>84</v>
      </c>
      <c r="L1" s="1" t="s">
        <v>108</v>
      </c>
      <c r="M1" s="9" t="s">
        <v>109</v>
      </c>
      <c r="N1" s="9" t="s">
        <v>110</v>
      </c>
    </row>
    <row r="2" spans="1:14" ht="43.8" thickTop="1" x14ac:dyDescent="0.3">
      <c r="A2" s="11" t="s">
        <v>11</v>
      </c>
      <c r="B2" s="12" t="s">
        <v>10</v>
      </c>
      <c r="C2" s="12" t="s">
        <v>8</v>
      </c>
      <c r="D2" s="12" t="s">
        <v>9</v>
      </c>
      <c r="E2" s="12" t="s">
        <v>12</v>
      </c>
      <c r="F2" s="13" t="s">
        <v>64</v>
      </c>
      <c r="G2" s="13" t="s">
        <v>53</v>
      </c>
      <c r="H2" s="14">
        <v>346.7</v>
      </c>
      <c r="I2" s="14">
        <v>330.9</v>
      </c>
      <c r="J2" s="15" t="s">
        <v>12</v>
      </c>
      <c r="K2" s="12" t="s">
        <v>86</v>
      </c>
      <c r="L2" s="12" t="s">
        <v>98</v>
      </c>
      <c r="M2" s="16" t="s">
        <v>99</v>
      </c>
      <c r="N2" s="16">
        <f>37</f>
        <v>37</v>
      </c>
    </row>
    <row r="3" spans="1:14" ht="43.2" x14ac:dyDescent="0.3">
      <c r="A3" s="11" t="s">
        <v>13</v>
      </c>
      <c r="B3" s="12" t="s">
        <v>10</v>
      </c>
      <c r="C3" s="12" t="s">
        <v>8</v>
      </c>
      <c r="D3" s="12" t="s">
        <v>9</v>
      </c>
      <c r="E3" s="12" t="s">
        <v>12</v>
      </c>
      <c r="F3" s="13" t="s">
        <v>64</v>
      </c>
      <c r="G3" s="13" t="s">
        <v>53</v>
      </c>
      <c r="H3" s="14">
        <v>346.7</v>
      </c>
      <c r="I3" s="14">
        <v>330.9</v>
      </c>
      <c r="J3" s="15" t="s">
        <v>12</v>
      </c>
      <c r="K3" s="12" t="s">
        <v>86</v>
      </c>
      <c r="L3" s="12" t="s">
        <v>98</v>
      </c>
      <c r="M3" s="16" t="s">
        <v>99</v>
      </c>
      <c r="N3" s="16">
        <f>37</f>
        <v>37</v>
      </c>
    </row>
    <row r="4" spans="1:14" ht="28.8" x14ac:dyDescent="0.3">
      <c r="A4" s="11" t="s">
        <v>112</v>
      </c>
      <c r="B4" s="12" t="s">
        <v>10</v>
      </c>
      <c r="C4" s="12" t="s">
        <v>8</v>
      </c>
      <c r="D4" s="12" t="s">
        <v>9</v>
      </c>
      <c r="E4" s="12" t="s">
        <v>113</v>
      </c>
      <c r="F4" s="13" t="s">
        <v>114</v>
      </c>
      <c r="G4" s="13" t="s">
        <v>121</v>
      </c>
      <c r="H4" s="14">
        <v>350.76</v>
      </c>
      <c r="I4" s="14">
        <v>341.43</v>
      </c>
      <c r="J4" s="15" t="s">
        <v>122</v>
      </c>
      <c r="K4" s="12" t="s">
        <v>115</v>
      </c>
      <c r="L4" s="12" t="s">
        <v>116</v>
      </c>
      <c r="M4" s="12" t="s">
        <v>117</v>
      </c>
      <c r="N4" s="17">
        <v>36</v>
      </c>
    </row>
    <row r="5" spans="1:14" ht="28.8" x14ac:dyDescent="0.3">
      <c r="A5" s="11" t="s">
        <v>118</v>
      </c>
      <c r="B5" s="12" t="s">
        <v>10</v>
      </c>
      <c r="C5" s="12" t="s">
        <v>8</v>
      </c>
      <c r="D5" s="12" t="s">
        <v>9</v>
      </c>
      <c r="E5" s="12" t="s">
        <v>113</v>
      </c>
      <c r="F5" s="13" t="s">
        <v>114</v>
      </c>
      <c r="G5" s="13" t="s">
        <v>121</v>
      </c>
      <c r="H5" s="14">
        <v>350.76</v>
      </c>
      <c r="I5" s="14">
        <v>341.43</v>
      </c>
      <c r="J5" s="15" t="s">
        <v>122</v>
      </c>
      <c r="K5" s="12" t="s">
        <v>115</v>
      </c>
      <c r="L5" s="16" t="s">
        <v>119</v>
      </c>
      <c r="M5" s="12" t="s">
        <v>120</v>
      </c>
      <c r="N5" s="17">
        <v>36</v>
      </c>
    </row>
    <row r="6" spans="1:14" ht="43.2" x14ac:dyDescent="0.3">
      <c r="A6" s="11" t="s">
        <v>14</v>
      </c>
      <c r="B6" s="12" t="s">
        <v>10</v>
      </c>
      <c r="C6" s="12" t="s">
        <v>8</v>
      </c>
      <c r="D6" s="12" t="s">
        <v>9</v>
      </c>
      <c r="E6" s="12" t="s">
        <v>12</v>
      </c>
      <c r="F6" s="13" t="s">
        <v>64</v>
      </c>
      <c r="G6" s="13" t="s">
        <v>58</v>
      </c>
      <c r="H6" s="14">
        <v>346.7</v>
      </c>
      <c r="I6" s="14">
        <v>330.9</v>
      </c>
      <c r="J6" s="15" t="s">
        <v>12</v>
      </c>
      <c r="K6" s="12" t="s">
        <v>86</v>
      </c>
      <c r="L6" s="12" t="s">
        <v>98</v>
      </c>
      <c r="M6" s="16" t="s">
        <v>99</v>
      </c>
      <c r="N6" s="16">
        <f>37</f>
        <v>37</v>
      </c>
    </row>
    <row r="7" spans="1:14" x14ac:dyDescent="0.3">
      <c r="A7" s="11" t="s">
        <v>15</v>
      </c>
      <c r="B7" s="12" t="s">
        <v>10</v>
      </c>
      <c r="C7" s="12" t="s">
        <v>8</v>
      </c>
      <c r="D7" s="12" t="s">
        <v>9</v>
      </c>
      <c r="E7" s="12" t="s">
        <v>12</v>
      </c>
      <c r="F7" s="13" t="s">
        <v>16</v>
      </c>
      <c r="G7" s="13" t="s">
        <v>54</v>
      </c>
      <c r="H7" s="14">
        <v>346.7</v>
      </c>
      <c r="I7" s="14">
        <v>341.43</v>
      </c>
      <c r="J7" s="15" t="s">
        <v>70</v>
      </c>
      <c r="K7" s="12" t="s">
        <v>85</v>
      </c>
      <c r="L7" s="12" t="s">
        <v>100</v>
      </c>
      <c r="M7" s="16" t="s">
        <v>101</v>
      </c>
      <c r="N7" s="16">
        <f>37</f>
        <v>37</v>
      </c>
    </row>
    <row r="8" spans="1:14" x14ac:dyDescent="0.3">
      <c r="A8" s="11" t="s">
        <v>17</v>
      </c>
      <c r="B8" s="12" t="s">
        <v>10</v>
      </c>
      <c r="C8" s="12" t="s">
        <v>8</v>
      </c>
      <c r="D8" s="12" t="s">
        <v>9</v>
      </c>
      <c r="E8" s="12" t="s">
        <v>12</v>
      </c>
      <c r="F8" s="13" t="s">
        <v>16</v>
      </c>
      <c r="G8" s="13" t="s">
        <v>55</v>
      </c>
      <c r="H8" s="14">
        <v>346.7</v>
      </c>
      <c r="I8" s="14">
        <v>341.43</v>
      </c>
      <c r="J8" s="15" t="s">
        <v>70</v>
      </c>
      <c r="K8" s="12" t="s">
        <v>85</v>
      </c>
      <c r="L8" s="12" t="s">
        <v>100</v>
      </c>
      <c r="M8" s="16" t="s">
        <v>101</v>
      </c>
      <c r="N8" s="16">
        <f>37</f>
        <v>37</v>
      </c>
    </row>
    <row r="9" spans="1:14" ht="28.8" x14ac:dyDescent="0.3">
      <c r="A9" s="11" t="s">
        <v>18</v>
      </c>
      <c r="B9" s="12" t="s">
        <v>10</v>
      </c>
      <c r="C9" s="12" t="s">
        <v>8</v>
      </c>
      <c r="D9" s="12" t="s">
        <v>9</v>
      </c>
      <c r="E9" s="12" t="s">
        <v>12</v>
      </c>
      <c r="F9" s="13" t="s">
        <v>19</v>
      </c>
      <c r="G9" s="13" t="s">
        <v>56</v>
      </c>
      <c r="H9" s="14">
        <v>341.43</v>
      </c>
      <c r="I9" s="14">
        <v>336.16</v>
      </c>
      <c r="J9" s="15" t="s">
        <v>65</v>
      </c>
      <c r="K9" s="12" t="s">
        <v>89</v>
      </c>
      <c r="L9" s="12" t="s">
        <v>102</v>
      </c>
      <c r="M9" s="16" t="s">
        <v>94</v>
      </c>
      <c r="N9" s="16">
        <f>37</f>
        <v>37</v>
      </c>
    </row>
    <row r="10" spans="1:14" ht="28.8" x14ac:dyDescent="0.3">
      <c r="A10" s="11" t="s">
        <v>20</v>
      </c>
      <c r="B10" s="12" t="s">
        <v>10</v>
      </c>
      <c r="C10" s="12" t="s">
        <v>8</v>
      </c>
      <c r="D10" s="12" t="s">
        <v>9</v>
      </c>
      <c r="E10" s="12" t="s">
        <v>12</v>
      </c>
      <c r="F10" s="13" t="s">
        <v>88</v>
      </c>
      <c r="G10" s="13" t="s">
        <v>56</v>
      </c>
      <c r="H10" s="14">
        <v>341.43</v>
      </c>
      <c r="I10" s="14">
        <v>336.16</v>
      </c>
      <c r="J10" s="15" t="s">
        <v>65</v>
      </c>
      <c r="K10" s="12" t="s">
        <v>89</v>
      </c>
      <c r="L10" s="12" t="s">
        <v>102</v>
      </c>
      <c r="M10" s="16" t="s">
        <v>94</v>
      </c>
      <c r="N10" s="16">
        <f>37</f>
        <v>37</v>
      </c>
    </row>
    <row r="11" spans="1:14" ht="28.8" x14ac:dyDescent="0.3">
      <c r="A11" s="11" t="s">
        <v>21</v>
      </c>
      <c r="B11" s="12" t="s">
        <v>10</v>
      </c>
      <c r="C11" s="12" t="s">
        <v>8</v>
      </c>
      <c r="D11" s="12" t="s">
        <v>9</v>
      </c>
      <c r="E11" s="12" t="s">
        <v>12</v>
      </c>
      <c r="F11" s="13" t="s">
        <v>19</v>
      </c>
      <c r="G11" s="13" t="s">
        <v>72</v>
      </c>
      <c r="H11" s="14">
        <v>341.43</v>
      </c>
      <c r="I11" s="14">
        <v>336.16</v>
      </c>
      <c r="J11" s="15" t="s">
        <v>65</v>
      </c>
      <c r="K11" s="12" t="s">
        <v>89</v>
      </c>
      <c r="L11" s="12" t="s">
        <v>102</v>
      </c>
      <c r="M11" s="16" t="s">
        <v>94</v>
      </c>
      <c r="N11" s="16">
        <f>37</f>
        <v>37</v>
      </c>
    </row>
    <row r="12" spans="1:14" ht="28.8" x14ac:dyDescent="0.3">
      <c r="A12" s="18" t="s">
        <v>22</v>
      </c>
      <c r="B12" s="12" t="s">
        <v>10</v>
      </c>
      <c r="C12" s="12" t="s">
        <v>8</v>
      </c>
      <c r="D12" s="12" t="s">
        <v>9</v>
      </c>
      <c r="E12" s="12" t="s">
        <v>12</v>
      </c>
      <c r="F12" s="13" t="s">
        <v>23</v>
      </c>
      <c r="G12" s="13" t="s">
        <v>24</v>
      </c>
      <c r="H12" s="14">
        <v>335.5</v>
      </c>
      <c r="I12" s="14">
        <v>333.5</v>
      </c>
      <c r="J12" s="15" t="s">
        <v>71</v>
      </c>
      <c r="K12" s="12" t="s">
        <v>90</v>
      </c>
      <c r="L12" s="12" t="s">
        <v>103</v>
      </c>
      <c r="M12" s="16" t="s">
        <v>104</v>
      </c>
      <c r="N12" s="16">
        <f>37</f>
        <v>37</v>
      </c>
    </row>
    <row r="13" spans="1:14" ht="28.8" x14ac:dyDescent="0.3">
      <c r="A13" s="11" t="s">
        <v>25</v>
      </c>
      <c r="B13" s="12" t="s">
        <v>10</v>
      </c>
      <c r="C13" s="12" t="s">
        <v>8</v>
      </c>
      <c r="D13" s="12" t="s">
        <v>9</v>
      </c>
      <c r="E13" s="12" t="s">
        <v>12</v>
      </c>
      <c r="F13" s="13" t="s">
        <v>19</v>
      </c>
      <c r="G13" s="13" t="s">
        <v>73</v>
      </c>
      <c r="H13" s="14">
        <v>341.43</v>
      </c>
      <c r="I13" s="14">
        <v>336.16</v>
      </c>
      <c r="J13" s="15" t="s">
        <v>65</v>
      </c>
      <c r="K13" s="12" t="s">
        <v>89</v>
      </c>
      <c r="L13" s="12" t="s">
        <v>102</v>
      </c>
      <c r="M13" s="16" t="s">
        <v>94</v>
      </c>
      <c r="N13" s="16">
        <f>37</f>
        <v>37</v>
      </c>
    </row>
    <row r="14" spans="1:14" ht="43.2" x14ac:dyDescent="0.3">
      <c r="A14" s="11" t="s">
        <v>123</v>
      </c>
      <c r="B14" s="12" t="s">
        <v>10</v>
      </c>
      <c r="C14" s="12" t="s">
        <v>124</v>
      </c>
      <c r="D14" s="12" t="s">
        <v>125</v>
      </c>
      <c r="E14" s="12" t="s">
        <v>126</v>
      </c>
      <c r="F14" s="13" t="s">
        <v>127</v>
      </c>
      <c r="G14" s="13" t="s">
        <v>128</v>
      </c>
      <c r="H14" s="14">
        <v>363.33</v>
      </c>
      <c r="I14" s="14">
        <v>336.16</v>
      </c>
      <c r="J14" s="15" t="s">
        <v>129</v>
      </c>
      <c r="K14" s="12" t="s">
        <v>130</v>
      </c>
      <c r="L14" s="12" t="s">
        <v>131</v>
      </c>
      <c r="M14" s="12" t="s">
        <v>132</v>
      </c>
      <c r="N14" s="17">
        <v>35</v>
      </c>
    </row>
    <row r="15" spans="1:14" ht="43.2" x14ac:dyDescent="0.3">
      <c r="A15" s="11" t="s">
        <v>133</v>
      </c>
      <c r="B15" s="12" t="s">
        <v>10</v>
      </c>
      <c r="C15" s="12" t="s">
        <v>124</v>
      </c>
      <c r="D15" s="12" t="s">
        <v>125</v>
      </c>
      <c r="E15" s="12" t="s">
        <v>126</v>
      </c>
      <c r="F15" s="13" t="s">
        <v>127</v>
      </c>
      <c r="G15" s="13" t="s">
        <v>128</v>
      </c>
      <c r="H15" s="14">
        <v>363.33</v>
      </c>
      <c r="I15" s="14">
        <v>336.16</v>
      </c>
      <c r="J15" s="15" t="s">
        <v>129</v>
      </c>
      <c r="K15" s="12" t="s">
        <v>130</v>
      </c>
      <c r="L15" s="16" t="s">
        <v>134</v>
      </c>
      <c r="M15" s="12" t="s">
        <v>135</v>
      </c>
      <c r="N15" s="17">
        <v>35</v>
      </c>
    </row>
    <row r="16" spans="1:14" ht="28.8" x14ac:dyDescent="0.3">
      <c r="A16" s="11" t="s">
        <v>26</v>
      </c>
      <c r="B16" s="12" t="s">
        <v>10</v>
      </c>
      <c r="C16" s="12" t="s">
        <v>8</v>
      </c>
      <c r="D16" s="12" t="s">
        <v>9</v>
      </c>
      <c r="E16" s="12" t="s">
        <v>12</v>
      </c>
      <c r="F16" s="13" t="s">
        <v>68</v>
      </c>
      <c r="G16" s="13" t="s">
        <v>57</v>
      </c>
      <c r="H16" s="14">
        <v>341.43</v>
      </c>
      <c r="I16" s="14">
        <v>336.16</v>
      </c>
      <c r="J16" s="15" t="s">
        <v>69</v>
      </c>
      <c r="K16" s="12" t="s">
        <v>90</v>
      </c>
      <c r="L16" s="12" t="s">
        <v>103</v>
      </c>
      <c r="M16" s="16" t="s">
        <v>104</v>
      </c>
      <c r="N16" s="16">
        <f>37</f>
        <v>37</v>
      </c>
    </row>
    <row r="17" spans="1:14" ht="28.8" x14ac:dyDescent="0.3">
      <c r="A17" s="11" t="s">
        <v>27</v>
      </c>
      <c r="B17" s="12" t="s">
        <v>10</v>
      </c>
      <c r="C17" s="12" t="s">
        <v>8</v>
      </c>
      <c r="D17" s="12" t="s">
        <v>9</v>
      </c>
      <c r="E17" s="12" t="s">
        <v>12</v>
      </c>
      <c r="F17" s="13" t="s">
        <v>19</v>
      </c>
      <c r="G17" s="13" t="s">
        <v>73</v>
      </c>
      <c r="H17" s="14">
        <v>341.43</v>
      </c>
      <c r="I17" s="14">
        <v>336.16</v>
      </c>
      <c r="J17" s="15" t="s">
        <v>65</v>
      </c>
      <c r="K17" s="12" t="s">
        <v>89</v>
      </c>
      <c r="L17" s="12" t="s">
        <v>102</v>
      </c>
      <c r="M17" s="16" t="s">
        <v>94</v>
      </c>
      <c r="N17" s="16">
        <f>37</f>
        <v>37</v>
      </c>
    </row>
    <row r="18" spans="1:14" ht="28.8" x14ac:dyDescent="0.3">
      <c r="A18" s="11" t="s">
        <v>28</v>
      </c>
      <c r="B18" s="12" t="s">
        <v>10</v>
      </c>
      <c r="C18" s="12" t="s">
        <v>8</v>
      </c>
      <c r="D18" s="12" t="s">
        <v>9</v>
      </c>
      <c r="E18" s="12" t="s">
        <v>12</v>
      </c>
      <c r="F18" s="13" t="s">
        <v>23</v>
      </c>
      <c r="G18" s="13" t="s">
        <v>74</v>
      </c>
      <c r="H18" s="14">
        <v>335.5</v>
      </c>
      <c r="I18" s="14">
        <v>333.5</v>
      </c>
      <c r="J18" s="15" t="s">
        <v>12</v>
      </c>
      <c r="K18" s="12" t="s">
        <v>90</v>
      </c>
      <c r="L18" s="12" t="s">
        <v>103</v>
      </c>
      <c r="M18" s="16" t="s">
        <v>104</v>
      </c>
      <c r="N18" s="16">
        <f>37</f>
        <v>37</v>
      </c>
    </row>
    <row r="19" spans="1:14" ht="28.8" x14ac:dyDescent="0.3">
      <c r="A19" s="11" t="s">
        <v>29</v>
      </c>
      <c r="B19" s="12" t="s">
        <v>10</v>
      </c>
      <c r="C19" s="12" t="s">
        <v>8</v>
      </c>
      <c r="D19" s="12" t="s">
        <v>9</v>
      </c>
      <c r="E19" s="12" t="s">
        <v>12</v>
      </c>
      <c r="F19" s="13" t="s">
        <v>19</v>
      </c>
      <c r="G19" s="13" t="s">
        <v>73</v>
      </c>
      <c r="H19" s="14">
        <v>341.43</v>
      </c>
      <c r="I19" s="14">
        <v>336.16</v>
      </c>
      <c r="J19" s="15" t="s">
        <v>65</v>
      </c>
      <c r="K19" s="12" t="s">
        <v>89</v>
      </c>
      <c r="L19" s="12" t="s">
        <v>102</v>
      </c>
      <c r="M19" s="16" t="s">
        <v>94</v>
      </c>
      <c r="N19" s="16">
        <f>37</f>
        <v>37</v>
      </c>
    </row>
    <row r="20" spans="1:14" ht="43.2" x14ac:dyDescent="0.3">
      <c r="A20" s="11" t="s">
        <v>30</v>
      </c>
      <c r="B20" s="12" t="s">
        <v>10</v>
      </c>
      <c r="C20" s="12" t="s">
        <v>8</v>
      </c>
      <c r="D20" s="12" t="s">
        <v>9</v>
      </c>
      <c r="E20" s="12" t="s">
        <v>12</v>
      </c>
      <c r="F20" s="13" t="s">
        <v>64</v>
      </c>
      <c r="G20" s="13" t="s">
        <v>58</v>
      </c>
      <c r="H20" s="14">
        <v>346.7</v>
      </c>
      <c r="I20" s="14">
        <v>330.9</v>
      </c>
      <c r="J20" s="15" t="s">
        <v>12</v>
      </c>
      <c r="K20" s="12" t="s">
        <v>86</v>
      </c>
      <c r="L20" s="12" t="s">
        <v>98</v>
      </c>
      <c r="M20" s="16" t="s">
        <v>99</v>
      </c>
      <c r="N20" s="16">
        <f>37</f>
        <v>37</v>
      </c>
    </row>
    <row r="21" spans="1:14" ht="28.8" x14ac:dyDescent="0.3">
      <c r="A21" s="11" t="s">
        <v>31</v>
      </c>
      <c r="B21" s="12" t="s">
        <v>10</v>
      </c>
      <c r="C21" s="12" t="s">
        <v>8</v>
      </c>
      <c r="D21" s="12" t="s">
        <v>9</v>
      </c>
      <c r="E21" s="12" t="s">
        <v>12</v>
      </c>
      <c r="F21" s="13" t="s">
        <v>66</v>
      </c>
      <c r="G21" s="13" t="s">
        <v>75</v>
      </c>
      <c r="H21" s="14">
        <v>341.43</v>
      </c>
      <c r="I21" s="14">
        <v>336.16</v>
      </c>
      <c r="J21" s="15" t="s">
        <v>65</v>
      </c>
      <c r="K21" s="12" t="s">
        <v>89</v>
      </c>
      <c r="L21" s="12" t="s">
        <v>102</v>
      </c>
      <c r="M21" s="16" t="s">
        <v>94</v>
      </c>
      <c r="N21" s="16">
        <f>37</f>
        <v>37</v>
      </c>
    </row>
    <row r="22" spans="1:14" x14ac:dyDescent="0.3">
      <c r="A22" s="11" t="s">
        <v>32</v>
      </c>
      <c r="B22" s="12" t="s">
        <v>10</v>
      </c>
      <c r="C22" s="12" t="s">
        <v>8</v>
      </c>
      <c r="D22" s="12" t="s">
        <v>9</v>
      </c>
      <c r="E22" s="12" t="s">
        <v>12</v>
      </c>
      <c r="F22" s="13" t="s">
        <v>66</v>
      </c>
      <c r="G22" s="13" t="s">
        <v>59</v>
      </c>
      <c r="H22" s="14">
        <v>341.43</v>
      </c>
      <c r="I22" s="14">
        <v>336.16</v>
      </c>
      <c r="J22" s="15" t="s">
        <v>65</v>
      </c>
      <c r="K22" s="12" t="s">
        <v>89</v>
      </c>
      <c r="L22" s="12" t="s">
        <v>102</v>
      </c>
      <c r="M22" s="16" t="s">
        <v>94</v>
      </c>
      <c r="N22" s="16">
        <f>37</f>
        <v>37</v>
      </c>
    </row>
    <row r="23" spans="1:14" x14ac:dyDescent="0.3">
      <c r="A23" s="11" t="s">
        <v>33</v>
      </c>
      <c r="B23" s="12" t="s">
        <v>10</v>
      </c>
      <c r="C23" s="12" t="s">
        <v>8</v>
      </c>
      <c r="D23" s="12" t="s">
        <v>9</v>
      </c>
      <c r="E23" s="12" t="s">
        <v>12</v>
      </c>
      <c r="F23" s="13" t="s">
        <v>66</v>
      </c>
      <c r="G23" s="13" t="s">
        <v>60</v>
      </c>
      <c r="H23" s="14">
        <v>341.43</v>
      </c>
      <c r="I23" s="14">
        <v>336.16</v>
      </c>
      <c r="J23" s="15" t="s">
        <v>65</v>
      </c>
      <c r="K23" s="12" t="s">
        <v>89</v>
      </c>
      <c r="L23" s="12" t="s">
        <v>102</v>
      </c>
      <c r="M23" s="16" t="s">
        <v>94</v>
      </c>
      <c r="N23" s="16">
        <f>37</f>
        <v>37</v>
      </c>
    </row>
    <row r="24" spans="1:14" ht="28.8" x14ac:dyDescent="0.3">
      <c r="A24" s="11" t="s">
        <v>34</v>
      </c>
      <c r="B24" s="12" t="s">
        <v>10</v>
      </c>
      <c r="C24" s="12" t="s">
        <v>8</v>
      </c>
      <c r="D24" s="12" t="s">
        <v>9</v>
      </c>
      <c r="E24" s="12" t="s">
        <v>12</v>
      </c>
      <c r="F24" s="13" t="s">
        <v>35</v>
      </c>
      <c r="G24" s="13" t="s">
        <v>61</v>
      </c>
      <c r="H24" s="14">
        <v>335.5</v>
      </c>
      <c r="I24" s="14">
        <v>333.5</v>
      </c>
      <c r="J24" s="15" t="s">
        <v>82</v>
      </c>
      <c r="K24" s="12" t="s">
        <v>90</v>
      </c>
      <c r="L24" s="12" t="s">
        <v>103</v>
      </c>
      <c r="M24" s="19" t="s">
        <v>104</v>
      </c>
      <c r="N24" s="16">
        <f>37</f>
        <v>37</v>
      </c>
    </row>
    <row r="25" spans="1:14" ht="28.8" x14ac:dyDescent="0.3">
      <c r="A25" s="11" t="s">
        <v>36</v>
      </c>
      <c r="B25" s="12" t="s">
        <v>10</v>
      </c>
      <c r="C25" s="12" t="s">
        <v>8</v>
      </c>
      <c r="D25" s="12" t="s">
        <v>9</v>
      </c>
      <c r="E25" s="12" t="s">
        <v>12</v>
      </c>
      <c r="F25" s="13" t="s">
        <v>19</v>
      </c>
      <c r="G25" s="13" t="s">
        <v>76</v>
      </c>
      <c r="H25" s="14">
        <v>341.43</v>
      </c>
      <c r="I25" s="14">
        <v>336.16</v>
      </c>
      <c r="J25" s="15" t="s">
        <v>65</v>
      </c>
      <c r="K25" s="12" t="s">
        <v>89</v>
      </c>
      <c r="L25" s="12" t="s">
        <v>102</v>
      </c>
      <c r="M25" s="16" t="s">
        <v>94</v>
      </c>
      <c r="N25" s="16">
        <f>37</f>
        <v>37</v>
      </c>
    </row>
    <row r="26" spans="1:14" ht="28.8" x14ac:dyDescent="0.3">
      <c r="A26" s="11" t="s">
        <v>37</v>
      </c>
      <c r="B26" s="12" t="s">
        <v>10</v>
      </c>
      <c r="C26" s="12" t="s">
        <v>8</v>
      </c>
      <c r="D26" s="12" t="s">
        <v>9</v>
      </c>
      <c r="E26" s="12" t="s">
        <v>12</v>
      </c>
      <c r="F26" s="13" t="s">
        <v>19</v>
      </c>
      <c r="G26" s="13" t="s">
        <v>77</v>
      </c>
      <c r="H26" s="14">
        <v>341.43</v>
      </c>
      <c r="I26" s="14">
        <v>336.16</v>
      </c>
      <c r="J26" s="15" t="s">
        <v>65</v>
      </c>
      <c r="K26" s="12" t="s">
        <v>89</v>
      </c>
      <c r="L26" s="12" t="s">
        <v>102</v>
      </c>
      <c r="M26" s="16" t="s">
        <v>94</v>
      </c>
      <c r="N26" s="16">
        <f>37</f>
        <v>37</v>
      </c>
    </row>
    <row r="27" spans="1:14" ht="28.8" x14ac:dyDescent="0.3">
      <c r="A27" s="18" t="s">
        <v>38</v>
      </c>
      <c r="B27" s="12" t="s">
        <v>10</v>
      </c>
      <c r="C27" s="12" t="s">
        <v>8</v>
      </c>
      <c r="D27" s="12" t="s">
        <v>9</v>
      </c>
      <c r="E27" s="12" t="s">
        <v>12</v>
      </c>
      <c r="F27" s="13" t="s">
        <v>19</v>
      </c>
      <c r="G27" s="13" t="s">
        <v>62</v>
      </c>
      <c r="H27" s="14">
        <v>341.43</v>
      </c>
      <c r="I27" s="14">
        <v>336.16</v>
      </c>
      <c r="J27" s="15" t="s">
        <v>65</v>
      </c>
      <c r="K27" s="12" t="s">
        <v>89</v>
      </c>
      <c r="L27" s="12" t="s">
        <v>102</v>
      </c>
      <c r="M27" s="16" t="s">
        <v>94</v>
      </c>
      <c r="N27" s="16">
        <f>37</f>
        <v>37</v>
      </c>
    </row>
    <row r="28" spans="1:14" ht="28.8" x14ac:dyDescent="0.3">
      <c r="A28" s="11" t="s">
        <v>39</v>
      </c>
      <c r="B28" s="12" t="s">
        <v>10</v>
      </c>
      <c r="C28" s="12" t="s">
        <v>8</v>
      </c>
      <c r="D28" s="12" t="s">
        <v>9</v>
      </c>
      <c r="E28" s="12" t="s">
        <v>12</v>
      </c>
      <c r="F28" s="13" t="s">
        <v>19</v>
      </c>
      <c r="G28" s="13" t="s">
        <v>78</v>
      </c>
      <c r="H28" s="14">
        <v>341.43</v>
      </c>
      <c r="I28" s="14">
        <v>336.16</v>
      </c>
      <c r="J28" s="15" t="s">
        <v>65</v>
      </c>
      <c r="K28" s="12" t="s">
        <v>89</v>
      </c>
      <c r="L28" s="12" t="s">
        <v>105</v>
      </c>
      <c r="M28" s="16" t="s">
        <v>94</v>
      </c>
      <c r="N28" s="16">
        <f>37</f>
        <v>37</v>
      </c>
    </row>
    <row r="29" spans="1:14" ht="28.8" x14ac:dyDescent="0.3">
      <c r="A29" s="11" t="s">
        <v>40</v>
      </c>
      <c r="B29" s="12" t="s">
        <v>10</v>
      </c>
      <c r="C29" s="12" t="s">
        <v>8</v>
      </c>
      <c r="D29" s="12" t="s">
        <v>9</v>
      </c>
      <c r="E29" s="12" t="s">
        <v>12</v>
      </c>
      <c r="F29" s="13" t="s">
        <v>19</v>
      </c>
      <c r="G29" s="13" t="s">
        <v>79</v>
      </c>
      <c r="H29" s="14">
        <v>341.43</v>
      </c>
      <c r="I29" s="14">
        <v>336.16</v>
      </c>
      <c r="J29" s="15" t="s">
        <v>65</v>
      </c>
      <c r="K29" s="12" t="s">
        <v>89</v>
      </c>
      <c r="L29" s="12" t="s">
        <v>102</v>
      </c>
      <c r="M29" s="16" t="s">
        <v>94</v>
      </c>
      <c r="N29" s="16">
        <f>37</f>
        <v>37</v>
      </c>
    </row>
    <row r="30" spans="1:14" ht="28.8" x14ac:dyDescent="0.3">
      <c r="A30" s="11" t="s">
        <v>41</v>
      </c>
      <c r="B30" s="12" t="s">
        <v>10</v>
      </c>
      <c r="C30" s="12" t="s">
        <v>8</v>
      </c>
      <c r="D30" s="12" t="s">
        <v>9</v>
      </c>
      <c r="E30" s="12" t="s">
        <v>12</v>
      </c>
      <c r="F30" s="13" t="s">
        <v>19</v>
      </c>
      <c r="G30" s="13" t="s">
        <v>42</v>
      </c>
      <c r="H30" s="14">
        <v>341.43</v>
      </c>
      <c r="I30" s="14">
        <v>336.16</v>
      </c>
      <c r="J30" s="15" t="s">
        <v>67</v>
      </c>
      <c r="K30" s="12" t="s">
        <v>89</v>
      </c>
      <c r="L30" s="12" t="s">
        <v>102</v>
      </c>
      <c r="M30" s="16" t="s">
        <v>94</v>
      </c>
      <c r="N30" s="16">
        <f>37</f>
        <v>37</v>
      </c>
    </row>
    <row r="31" spans="1:14" ht="28.8" x14ac:dyDescent="0.3">
      <c r="A31" s="11" t="s">
        <v>43</v>
      </c>
      <c r="B31" s="12" t="s">
        <v>10</v>
      </c>
      <c r="C31" s="12" t="s">
        <v>8</v>
      </c>
      <c r="D31" s="12" t="s">
        <v>9</v>
      </c>
      <c r="E31" s="12" t="s">
        <v>12</v>
      </c>
      <c r="F31" s="13" t="s">
        <v>44</v>
      </c>
      <c r="G31" s="13" t="s">
        <v>80</v>
      </c>
      <c r="H31" s="14">
        <v>346.7</v>
      </c>
      <c r="I31" s="14">
        <v>330.9</v>
      </c>
      <c r="J31" s="15" t="s">
        <v>12</v>
      </c>
      <c r="K31" s="12" t="s">
        <v>91</v>
      </c>
      <c r="L31" s="12" t="s">
        <v>106</v>
      </c>
      <c r="M31" s="16" t="s">
        <v>107</v>
      </c>
      <c r="N31" s="16">
        <f>37</f>
        <v>37</v>
      </c>
    </row>
    <row r="32" spans="1:14" ht="28.8" x14ac:dyDescent="0.3">
      <c r="A32" s="11" t="s">
        <v>45</v>
      </c>
      <c r="B32" s="12" t="s">
        <v>10</v>
      </c>
      <c r="C32" s="12" t="s">
        <v>8</v>
      </c>
      <c r="D32" s="12" t="s">
        <v>9</v>
      </c>
      <c r="E32" s="12" t="s">
        <v>12</v>
      </c>
      <c r="F32" s="13" t="s">
        <v>46</v>
      </c>
      <c r="G32" s="13" t="s">
        <v>81</v>
      </c>
      <c r="H32" s="14">
        <v>339</v>
      </c>
      <c r="I32" s="14">
        <v>337.5</v>
      </c>
      <c r="J32" s="15" t="s">
        <v>83</v>
      </c>
      <c r="K32" s="12" t="s">
        <v>89</v>
      </c>
      <c r="L32" s="12" t="s">
        <v>102</v>
      </c>
      <c r="M32" s="12" t="s">
        <v>94</v>
      </c>
      <c r="N32" s="16">
        <f>37</f>
        <v>37</v>
      </c>
    </row>
    <row r="33" spans="1:14" ht="43.2" x14ac:dyDescent="0.3">
      <c r="A33" s="11" t="s">
        <v>47</v>
      </c>
      <c r="B33" s="12" t="s">
        <v>10</v>
      </c>
      <c r="C33" s="12" t="s">
        <v>8</v>
      </c>
      <c r="D33" s="12" t="s">
        <v>9</v>
      </c>
      <c r="E33" s="12" t="s">
        <v>12</v>
      </c>
      <c r="F33" s="13" t="s">
        <v>64</v>
      </c>
      <c r="G33" s="13" t="s">
        <v>63</v>
      </c>
      <c r="H33" s="14">
        <v>346.7</v>
      </c>
      <c r="I33" s="14">
        <v>330.9</v>
      </c>
      <c r="J33" s="15" t="s">
        <v>12</v>
      </c>
      <c r="K33" s="12" t="s">
        <v>86</v>
      </c>
      <c r="L33" s="12" t="s">
        <v>95</v>
      </c>
      <c r="M33" s="16" t="s">
        <v>111</v>
      </c>
      <c r="N33" s="16">
        <f>37</f>
        <v>37</v>
      </c>
    </row>
    <row r="34" spans="1:14" ht="28.8" x14ac:dyDescent="0.3">
      <c r="A34" s="18" t="s">
        <v>48</v>
      </c>
      <c r="B34" s="12" t="s">
        <v>10</v>
      </c>
      <c r="C34" s="12" t="s">
        <v>8</v>
      </c>
      <c r="D34" s="12" t="s">
        <v>9</v>
      </c>
      <c r="E34" s="12" t="s">
        <v>12</v>
      </c>
      <c r="F34" s="13" t="s">
        <v>49</v>
      </c>
      <c r="G34" s="13" t="s">
        <v>50</v>
      </c>
      <c r="H34" s="14">
        <v>341.43</v>
      </c>
      <c r="I34" s="14">
        <v>336.16</v>
      </c>
      <c r="J34" s="15" t="s">
        <v>65</v>
      </c>
      <c r="K34" s="12" t="s">
        <v>87</v>
      </c>
      <c r="L34" s="12" t="s">
        <v>97</v>
      </c>
      <c r="M34" s="16" t="s">
        <v>96</v>
      </c>
      <c r="N34" s="16">
        <f>37</f>
        <v>37</v>
      </c>
    </row>
    <row r="35" spans="1:14" ht="43.2" x14ac:dyDescent="0.3">
      <c r="A35" s="18" t="s">
        <v>51</v>
      </c>
      <c r="B35" s="12" t="s">
        <v>10</v>
      </c>
      <c r="C35" s="12" t="s">
        <v>8</v>
      </c>
      <c r="D35" s="12" t="s">
        <v>9</v>
      </c>
      <c r="E35" s="12" t="s">
        <v>12</v>
      </c>
      <c r="F35" s="13" t="s">
        <v>64</v>
      </c>
      <c r="G35" s="20" t="s">
        <v>52</v>
      </c>
      <c r="H35" s="14">
        <v>346.7</v>
      </c>
      <c r="I35" s="14">
        <v>330.9</v>
      </c>
      <c r="J35" s="15" t="s">
        <v>12</v>
      </c>
      <c r="K35" s="12" t="s">
        <v>86</v>
      </c>
      <c r="L35" s="12" t="s">
        <v>95</v>
      </c>
      <c r="M35" s="16" t="s">
        <v>111</v>
      </c>
      <c r="N35" s="16">
        <f>37</f>
        <v>37</v>
      </c>
    </row>
    <row r="36" spans="1:14" x14ac:dyDescent="0.3">
      <c r="N36" s="10"/>
    </row>
    <row r="37" spans="1:14" x14ac:dyDescent="0.3">
      <c r="F37" s="4"/>
    </row>
  </sheetData>
  <pageMargins left="0.7" right="0.7" top="0.75" bottom="0.75" header="0.3" footer="0.3"/>
  <pageSetup paperSize="9" orientation="portrait" horizontalDpi="360" verticalDpi="36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Species 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Olivia Vanhaesebroucke</dc:creator>
  <cp:lastModifiedBy>Olivia Vanhaesebroucke</cp:lastModifiedBy>
  <cp:lastPrinted>2024-09-27T11:52:11Z</cp:lastPrinted>
  <dcterms:created xsi:type="dcterms:W3CDTF">2024-01-11T20:47:44Z</dcterms:created>
  <dcterms:modified xsi:type="dcterms:W3CDTF">2025-11-12T16:43:35Z</dcterms:modified>
</cp:coreProperties>
</file>